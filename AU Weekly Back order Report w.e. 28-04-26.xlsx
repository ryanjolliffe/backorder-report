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Not_Backed_Up\LINEN\Back Order Reports\Current\"/>
    </mc:Choice>
  </mc:AlternateContent>
  <xr:revisionPtr revIDLastSave="0" documentId="13_ncr:1_{4E85198F-AE19-4957-8722-A49D1B0BDDB1}" xr6:coauthVersionLast="47" xr6:coauthVersionMax="47" xr10:uidLastSave="{00000000-0000-0000-0000-000000000000}"/>
  <bookViews>
    <workbookView xWindow="-28920" yWindow="-1290" windowWidth="29040" windowHeight="15720" tabRatio="761" xr2:uid="{00000000-000D-0000-FFFF-FFFF00000000}"/>
  </bookViews>
  <sheets>
    <sheet name="AU-Stock Supported" sheetId="1" r:id="rId1"/>
    <sheet name="AU-Made to Order" sheetId="2" r:id="rId2"/>
    <sheet name="NZ- Stock Supported" sheetId="5" state="hidden" r:id="rId3"/>
    <sheet name="NZ- MTO" sheetId="6" state="hidden" r:id="rId4"/>
    <sheet name="Plants" sheetId="3" r:id="rId5"/>
  </sheets>
  <definedNames>
    <definedName name="_xlnm._FilterDatabase" localSheetId="1" hidden="1">'AU-Made to Order'!$A$2:$Q$279</definedName>
    <definedName name="_xlnm._FilterDatabase" localSheetId="0" hidden="1">'AU-Stock Supported'!$A$2:$R$118</definedName>
    <definedName name="_xlnm._FilterDatabase" localSheetId="3" hidden="1">'NZ- MTO'!$A$2:$O$53</definedName>
    <definedName name="_xlnm._FilterDatabase" localSheetId="2" hidden="1">'NZ- Stock Supported'!$A$2:$O$14</definedName>
    <definedName name="_xlnm.Print_Titles" localSheetId="1">'AU-Made to Order'!$2:$2</definedName>
    <definedName name="_xlnm.Print_Titles" localSheetId="0">'AU-Stock Supported'!$2:$2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N1" i="2" l="1"/>
  <c r="A270" i="2" l="1"/>
  <c r="A271" i="2"/>
  <c r="A272" i="2"/>
  <c r="A273" i="2"/>
  <c r="A274" i="2"/>
  <c r="A275" i="2"/>
  <c r="A276" i="2"/>
  <c r="A277" i="2"/>
  <c r="A278" i="2"/>
  <c r="A279" i="2"/>
  <c r="A40" i="2"/>
  <c r="A113" i="2"/>
  <c r="A25" i="2"/>
  <c r="A15" i="2"/>
  <c r="A118" i="2"/>
  <c r="A6" i="2"/>
  <c r="A252" i="2"/>
  <c r="A38" i="2"/>
  <c r="A106" i="2"/>
  <c r="A253" i="2"/>
  <c r="A108" i="2"/>
  <c r="A49" i="2"/>
  <c r="A55" i="2"/>
  <c r="A67" i="2"/>
  <c r="A130" i="2"/>
  <c r="A123" i="2"/>
  <c r="A20" i="2"/>
  <c r="A105" i="2"/>
  <c r="A89" i="2"/>
  <c r="A90" i="2"/>
  <c r="A46" i="2"/>
  <c r="A27" i="2"/>
  <c r="A19" i="2"/>
  <c r="A88" i="2"/>
  <c r="A69" i="2"/>
  <c r="A80" i="2"/>
  <c r="A134" i="2"/>
  <c r="A82" i="2"/>
  <c r="A140" i="2"/>
  <c r="A78" i="2"/>
  <c r="A122" i="2"/>
  <c r="A119" i="2"/>
  <c r="A86" i="2"/>
  <c r="A26" i="2"/>
  <c r="A96" i="2"/>
  <c r="A17" i="2"/>
  <c r="A4" i="2"/>
  <c r="A160" i="2"/>
  <c r="A63" i="2"/>
  <c r="A22" i="2"/>
  <c r="A21" i="2"/>
  <c r="A171" i="2"/>
  <c r="A224" i="2"/>
  <c r="A155" i="2"/>
  <c r="A173" i="2"/>
  <c r="A175" i="2"/>
  <c r="A177" i="2"/>
  <c r="A225" i="2"/>
  <c r="A179" i="2"/>
  <c r="A181" i="2"/>
  <c r="A182" i="2"/>
  <c r="A183" i="2"/>
  <c r="A184" i="2"/>
  <c r="A185" i="2"/>
  <c r="A186" i="2"/>
  <c r="A187" i="2"/>
  <c r="A188" i="2"/>
  <c r="A204" i="2"/>
  <c r="A205" i="2"/>
  <c r="A206" i="2"/>
  <c r="A207" i="2"/>
  <c r="A208" i="2"/>
  <c r="A209" i="2"/>
  <c r="A189" i="2"/>
  <c r="A190" i="2"/>
  <c r="A191" i="2"/>
  <c r="A254" i="2"/>
  <c r="A192" i="2"/>
  <c r="A193" i="2"/>
  <c r="A265" i="2"/>
  <c r="A226" i="2"/>
  <c r="A227" i="2"/>
  <c r="A194" i="2"/>
  <c r="A195" i="2"/>
  <c r="A196" i="2"/>
  <c r="A255" i="2"/>
  <c r="A197" i="2"/>
  <c r="A198" i="2"/>
  <c r="A256" i="2"/>
  <c r="A161" i="2"/>
  <c r="A257" i="2"/>
  <c r="A229" i="2"/>
  <c r="A230" i="2"/>
  <c r="A231" i="2"/>
  <c r="A232" i="2"/>
  <c r="A233" i="2"/>
  <c r="A234" i="2"/>
  <c r="A109" i="2"/>
  <c r="A235" i="2"/>
  <c r="A236" i="2"/>
  <c r="A237" i="2"/>
  <c r="A100" i="2"/>
  <c r="A150" i="2"/>
  <c r="A50" i="2"/>
  <c r="A107" i="2"/>
  <c r="A125" i="2"/>
  <c r="A151" i="2"/>
  <c r="A169" i="2"/>
  <c r="A152" i="2"/>
  <c r="A135" i="2"/>
  <c r="A162" i="2"/>
  <c r="A57" i="2"/>
  <c r="A12" i="2"/>
  <c r="A91" i="2"/>
  <c r="A11" i="2"/>
  <c r="A99" i="2"/>
  <c r="A199" i="2"/>
  <c r="A210" i="2"/>
  <c r="A110" i="2"/>
  <c r="A34" i="2"/>
  <c r="A133" i="2"/>
  <c r="A131" i="2"/>
  <c r="A170" i="2"/>
  <c r="A268" i="2"/>
  <c r="A9" i="2"/>
  <c r="A172" i="2"/>
  <c r="A174" i="2"/>
  <c r="A176" i="2"/>
  <c r="A213" i="2"/>
  <c r="A178" i="2"/>
  <c r="A180" i="2"/>
  <c r="A216" i="2"/>
  <c r="A217" i="2"/>
  <c r="A29" i="2"/>
  <c r="A23" i="2"/>
  <c r="A35" i="2"/>
  <c r="A238" i="2"/>
  <c r="A258" i="2"/>
  <c r="A164" i="2"/>
  <c r="A239" i="2"/>
  <c r="A240" i="2"/>
  <c r="A223" i="2"/>
  <c r="A259" i="2"/>
  <c r="A241" i="2"/>
  <c r="A24" i="2"/>
  <c r="A147" i="2"/>
  <c r="A54" i="2"/>
  <c r="A242" i="2"/>
  <c r="A263" i="2"/>
  <c r="A70" i="2"/>
  <c r="A247" i="2"/>
  <c r="A166" i="2"/>
  <c r="A101" i="2"/>
  <c r="A37" i="2"/>
  <c r="A116" i="2"/>
  <c r="A97" i="2"/>
  <c r="A167" i="2"/>
  <c r="A16" i="2"/>
  <c r="A248" i="2"/>
  <c r="A168" i="2"/>
  <c r="A41" i="2"/>
  <c r="A120" i="2"/>
  <c r="A45" i="2"/>
  <c r="A32" i="2"/>
  <c r="A31" i="2"/>
  <c r="A58" i="2"/>
  <c r="A73" i="2"/>
  <c r="A153" i="2"/>
  <c r="A154" i="2"/>
  <c r="A136" i="2"/>
  <c r="A42" i="2"/>
  <c r="A52" i="2"/>
  <c r="A137" i="2"/>
  <c r="A127" i="2"/>
  <c r="A218" i="2"/>
  <c r="A85" i="2" l="1"/>
  <c r="A111" i="2"/>
  <c r="A149" i="2"/>
  <c r="A64" i="2"/>
  <c r="A158" i="2"/>
  <c r="A264" i="2"/>
  <c r="A68" i="2"/>
  <c r="A60" i="2"/>
  <c r="A215" i="2"/>
  <c r="A163" i="2"/>
  <c r="A121" i="2"/>
  <c r="A71" i="2"/>
  <c r="A269" i="2"/>
  <c r="A8" i="2"/>
  <c r="A3" i="2"/>
  <c r="A220" i="2"/>
  <c r="A159" i="2"/>
  <c r="A10" i="2"/>
  <c r="A43" i="2"/>
  <c r="A142" i="2"/>
  <c r="A53" i="2"/>
  <c r="A219" i="2"/>
  <c r="A28" i="2"/>
  <c r="A61" i="2"/>
  <c r="A200" i="2"/>
  <c r="A114" i="2"/>
  <c r="A145" i="2"/>
  <c r="A126" i="2"/>
  <c r="A141" i="2"/>
  <c r="A243" i="2"/>
  <c r="A266" i="2"/>
  <c r="A48" i="2"/>
  <c r="A244" i="2"/>
  <c r="A143" i="2"/>
  <c r="A128" i="2"/>
  <c r="A117" i="2"/>
  <c r="A249" i="2"/>
  <c r="A47" i="2"/>
  <c r="A201" i="2"/>
  <c r="A138" i="2"/>
  <c r="A84" i="2"/>
  <c r="A144" i="2"/>
  <c r="A18" i="2"/>
  <c r="A211" i="2"/>
  <c r="A146" i="2"/>
  <c r="A222" i="2"/>
  <c r="A203" i="2"/>
  <c r="A124" i="2"/>
  <c r="A77" i="2"/>
  <c r="A87" i="2"/>
  <c r="A267" i="2"/>
  <c r="A245" i="2"/>
  <c r="A212" i="2"/>
  <c r="A66" i="2"/>
  <c r="A7" i="2"/>
  <c r="A62" i="2"/>
  <c r="A129" i="2"/>
  <c r="A39" i="2"/>
  <c r="A79" i="2"/>
  <c r="A56" i="2"/>
  <c r="A157" i="2"/>
  <c r="A72" i="2"/>
  <c r="A103" i="2"/>
  <c r="A75" i="2"/>
  <c r="A98" i="2"/>
  <c r="A51" i="2"/>
  <c r="A250" i="2"/>
  <c r="A92" i="2"/>
  <c r="A221" i="2"/>
  <c r="A260" i="2"/>
  <c r="A33" i="2"/>
  <c r="A74" i="2"/>
  <c r="A132" i="2"/>
  <c r="A44" i="2"/>
  <c r="A156" i="2"/>
  <c r="A104" i="2"/>
  <c r="A214" i="2"/>
  <c r="A251" i="2"/>
  <c r="A228" i="2"/>
  <c r="A112" i="2" l="1"/>
  <c r="A76" i="2"/>
  <c r="A13" i="2"/>
  <c r="A202" i="2"/>
  <c r="A93" i="2"/>
  <c r="A261" i="2"/>
  <c r="A94" i="2"/>
  <c r="A165" i="2"/>
  <c r="A30" i="2"/>
  <c r="L1" i="6"/>
  <c r="L1" i="5"/>
  <c r="A23" i="1"/>
  <c r="A6" i="1"/>
  <c r="A39" i="1"/>
  <c r="A10" i="1"/>
  <c r="A19" i="1"/>
  <c r="A36" i="1"/>
  <c r="A33" i="1"/>
  <c r="A15" i="1"/>
  <c r="A24" i="1"/>
  <c r="A27" i="1"/>
  <c r="A12" i="1"/>
  <c r="A17" i="1"/>
  <c r="A8" i="1"/>
  <c r="A40" i="1"/>
  <c r="A41" i="1"/>
  <c r="A95" i="2"/>
  <c r="A139" i="2"/>
  <c r="A102" i="2"/>
  <c r="A81" i="2"/>
  <c r="A65" i="2"/>
  <c r="A14" i="2"/>
  <c r="A83" i="2"/>
  <c r="A36" i="2"/>
  <c r="A5" i="2"/>
  <c r="A148" i="2"/>
  <c r="O118" i="1"/>
  <c r="A32" i="1"/>
  <c r="A38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5" i="2"/>
  <c r="A262" i="2"/>
  <c r="A59" i="2"/>
  <c r="A246" i="2"/>
  <c r="A35" i="1"/>
  <c r="A3" i="1"/>
  <c r="A4" i="1"/>
  <c r="A18" i="1"/>
  <c r="A29" i="1"/>
  <c r="A28" i="1"/>
  <c r="A26" i="1"/>
  <c r="A5" i="1"/>
  <c r="A9" i="1"/>
  <c r="A30" i="1"/>
  <c r="A34" i="1"/>
  <c r="A25" i="1"/>
  <c r="A22" i="1"/>
  <c r="A13" i="1"/>
  <c r="A7" i="1"/>
  <c r="A37" i="1"/>
  <c r="A31" i="1"/>
  <c r="A11" i="1"/>
  <c r="A20" i="1"/>
  <c r="A14" i="1"/>
  <c r="A16" i="1"/>
  <c r="A21" i="1"/>
</calcChain>
</file>

<file path=xl/sharedStrings.xml><?xml version="1.0" encoding="utf-8"?>
<sst xmlns="http://schemas.openxmlformats.org/spreadsheetml/2006/main" count="1061" uniqueCount="344">
  <si>
    <t>Stock Type</t>
  </si>
  <si>
    <t>Simba Ref#</t>
  </si>
  <si>
    <t>Branch #</t>
  </si>
  <si>
    <t>Ordered Qty</t>
  </si>
  <si>
    <t>Invoiced Qty</t>
  </si>
  <si>
    <t>% Delivered</t>
  </si>
  <si>
    <t>Backorder Qty</t>
  </si>
  <si>
    <t>On Pick Qty</t>
  </si>
  <si>
    <t>Backorder $</t>
  </si>
  <si>
    <t>Comments</t>
  </si>
  <si>
    <t>MTO</t>
  </si>
  <si>
    <t>PO Ref#</t>
  </si>
  <si>
    <t>Sell Price $</t>
  </si>
  <si>
    <t>Plant</t>
  </si>
  <si>
    <t>Code</t>
  </si>
  <si>
    <t>Branch</t>
  </si>
  <si>
    <t>Northcote</t>
  </si>
  <si>
    <t>Punchbowl</t>
  </si>
  <si>
    <t>North Rocks</t>
  </si>
  <si>
    <t>Somersby</t>
  </si>
  <si>
    <t>Bathurst</t>
  </si>
  <si>
    <t>Paramatta</t>
  </si>
  <si>
    <t>Albury</t>
  </si>
  <si>
    <t>Dandenong</t>
  </si>
  <si>
    <t>Darra Linen</t>
  </si>
  <si>
    <t>Darra Garments</t>
  </si>
  <si>
    <t>Darwin NT</t>
  </si>
  <si>
    <t>SA Linen</t>
  </si>
  <si>
    <t>SA Garments</t>
  </si>
  <si>
    <t>Murdoch Garments</t>
  </si>
  <si>
    <t>Tasmania</t>
  </si>
  <si>
    <t>Bunbury WA</t>
  </si>
  <si>
    <t>ACT</t>
  </si>
  <si>
    <t>Rosebery</t>
  </si>
  <si>
    <t>Coffs</t>
  </si>
  <si>
    <t>Murdoch Linen</t>
  </si>
  <si>
    <t>Belmont WA</t>
  </si>
  <si>
    <t>Product Code</t>
  </si>
  <si>
    <t>Product</t>
  </si>
  <si>
    <t>Date of PO</t>
  </si>
  <si>
    <t>ETA                           (Mel Warehouse)</t>
  </si>
  <si>
    <t>PO Ref</t>
  </si>
  <si>
    <t xml:space="preserve">Comments                                                                   </t>
  </si>
  <si>
    <t>Demand Exceeding Forecast</t>
  </si>
  <si>
    <t>Total</t>
  </si>
  <si>
    <t>Back order Report - Stock Supported</t>
  </si>
  <si>
    <t>Customer Name</t>
  </si>
  <si>
    <t>Input Date</t>
  </si>
  <si>
    <t>Cust PO #</t>
  </si>
  <si>
    <t>Display Name</t>
  </si>
  <si>
    <t>% of Stock Delivered</t>
  </si>
  <si>
    <t>Item Price</t>
  </si>
  <si>
    <t>$</t>
  </si>
  <si>
    <t>Stock Group</t>
  </si>
  <si>
    <t>Estimated Delivery Date</t>
  </si>
  <si>
    <t>Back order Report - MTO</t>
  </si>
  <si>
    <t>Truganina</t>
  </si>
  <si>
    <t>SS</t>
  </si>
  <si>
    <t>BSR</t>
  </si>
  <si>
    <t>PT CHEV</t>
  </si>
  <si>
    <t>CMT</t>
  </si>
  <si>
    <t>NELSON</t>
  </si>
  <si>
    <t>P0586772513</t>
  </si>
  <si>
    <t>BABY NIGHTDRESS FLANNELETTE WHITE</t>
  </si>
  <si>
    <t/>
  </si>
  <si>
    <t>OMNI</t>
  </si>
  <si>
    <t>INDENT</t>
  </si>
  <si>
    <t>RSS</t>
  </si>
  <si>
    <t>Stock Type (Prposed)</t>
  </si>
  <si>
    <t>4316893</t>
  </si>
  <si>
    <t>SO00337753</t>
  </si>
  <si>
    <t>1CW4XL-4XL</t>
  </si>
  <si>
    <t>WHITE COVERALLS - 4XL - ELASTIC ON WRIST &amp; ANKLE NO HOOD</t>
  </si>
  <si>
    <t>4317600</t>
  </si>
  <si>
    <t>SO00337536</t>
  </si>
  <si>
    <t>CHI-STEM-SO8NZ</t>
  </si>
  <si>
    <t>IHG 80/20 PLAIN PILLOWCASE STD - EMB SOFT</t>
  </si>
  <si>
    <t>CHI-STEM-FI8NZ</t>
  </si>
  <si>
    <t>IHG 80/20 PLAIN PILLOWCASE STD  - EMB FIRM</t>
  </si>
  <si>
    <t>4318395</t>
  </si>
  <si>
    <t>SO00338719</t>
  </si>
  <si>
    <t>P0586765010</t>
  </si>
  <si>
    <t>GOWN ALL PURPOSE GREEN M MO108</t>
  </si>
  <si>
    <t>SO00339183</t>
  </si>
  <si>
    <t>4318681</t>
  </si>
  <si>
    <t>SO00339184</t>
  </si>
  <si>
    <t>P0586793211</t>
  </si>
  <si>
    <t>DRAW SHEET PASTEL GREEN 85X186CM (NO LABELS)</t>
  </si>
  <si>
    <t>P0586832767</t>
  </si>
  <si>
    <t>DRESS GUARD PASTEL GREEN 44X55CM (NO LABELS)</t>
  </si>
  <si>
    <t>P0586852741</t>
  </si>
  <si>
    <t>SPINAL SHEET DOUBLE THICKNESS PASTEL GREEN</t>
  </si>
  <si>
    <t>TBC</t>
  </si>
  <si>
    <t>4318685</t>
  </si>
  <si>
    <t>1CW5XL-5XL</t>
  </si>
  <si>
    <t>WHITE COVERALLS - 5XL - ELASTIC ON WRIST &amp; ANKLE NO HOOD</t>
  </si>
  <si>
    <t>1CW6XL-6XL</t>
  </si>
  <si>
    <t>WHITE COVERALLS - 6XL - ELASTIC ON WRIST &amp; ANKLE NO HOOD</t>
  </si>
  <si>
    <t>4319618</t>
  </si>
  <si>
    <t>SO00340821</t>
  </si>
  <si>
    <t>P99802</t>
  </si>
  <si>
    <t>BT COVER</t>
  </si>
  <si>
    <t>SO00339185</t>
  </si>
  <si>
    <t>P0586765911-TGP</t>
  </si>
  <si>
    <t>CLOTHING PROTECTOR TIE BLUE 50X80CM - TGP</t>
  </si>
  <si>
    <t>4319314</t>
  </si>
  <si>
    <t>SO00340372</t>
  </si>
  <si>
    <t>4319038</t>
  </si>
  <si>
    <t>SO00339741</t>
  </si>
  <si>
    <t>P0586773039</t>
  </si>
  <si>
    <t>THEATRE TOWEL PASTEL GREEN 72X90CM (NO LABELS)</t>
  </si>
  <si>
    <t>4319077</t>
  </si>
  <si>
    <t>SO00339828</t>
  </si>
  <si>
    <t>P99400617</t>
  </si>
  <si>
    <t>SHEET FLAT TAYLORS WHITE SUPER KING 70/30 320X300CM 12PK</t>
  </si>
  <si>
    <t>4319460</t>
  </si>
  <si>
    <t>SO00340545</t>
  </si>
  <si>
    <t>P0586765027</t>
  </si>
  <si>
    <t>GOWN ALL PURPOSE GREEN XL MO108</t>
  </si>
  <si>
    <t>P99209401</t>
  </si>
  <si>
    <t>MOMIE NAPKIN WHITE 53X51CM (250/CTN)</t>
  </si>
  <si>
    <t>P0586814190</t>
  </si>
  <si>
    <t>PYJAMA COAT KIDS CHINA BLUE SIZE 6 (YELLOW)</t>
  </si>
  <si>
    <t>P0586814206</t>
  </si>
  <si>
    <t>PYJAMA COAT KIDS CHINA BLUE SIZE 8 (BROWN)</t>
  </si>
  <si>
    <t>P0586814213</t>
  </si>
  <si>
    <t>PYJAMA PANT KIDS CHINA BLUE SIZE 6 (YELLOW)</t>
  </si>
  <si>
    <t>P0586814220</t>
  </si>
  <si>
    <t>PYJAMA PANT KIDS CHINA BLUE SIZE 8 (BROWN)</t>
  </si>
  <si>
    <t>P0586789993</t>
  </si>
  <si>
    <t>PYJAMA COAT KIDS CHINA BLUE SIZE 4 (GREEN)</t>
  </si>
  <si>
    <t>P99819</t>
  </si>
  <si>
    <t>SIDE SHEETS</t>
  </si>
  <si>
    <t>P99847</t>
  </si>
  <si>
    <t>LITHO LEGGING</t>
  </si>
  <si>
    <t>P0586765028</t>
  </si>
  <si>
    <t>GOWN ALL PURPOSE GREEN/GREY 3XL (PURPLE)</t>
  </si>
  <si>
    <t>P0586765029</t>
  </si>
  <si>
    <t>GOWN ALL PURPOSE GREEN/GREY 6XL (PINK)</t>
  </si>
  <si>
    <t>SO00341448</t>
  </si>
  <si>
    <t>P9940007</t>
  </si>
  <si>
    <t>TABLECLOTH DESIGNER PLAIN WHITE 137X137CM (40/CTN)</t>
  </si>
  <si>
    <t>P9940009</t>
  </si>
  <si>
    <t>TABLECLOTH DESIGNER PLAIN WHITE 137X244CM (20/CTN)</t>
  </si>
  <si>
    <t>4320080</t>
  </si>
  <si>
    <t>SO00341503</t>
  </si>
  <si>
    <t>P0586867820-TGP</t>
  </si>
  <si>
    <t>SHEET FLAT HOSPITAL GREEN PRINT LONG SINGLE 177X305CM - TGP</t>
  </si>
  <si>
    <t>SO00337498</t>
  </si>
  <si>
    <t>SO00341516</t>
  </si>
  <si>
    <t>P0014326237</t>
  </si>
  <si>
    <t>KINGDOM SHEET - 50/50 KING SINGLE FITTED WHITE 110X203+35CM 127GSM</t>
  </si>
  <si>
    <t>New Demand plan to be provided from Taylors</t>
  </si>
  <si>
    <t>SO00341320</t>
  </si>
  <si>
    <t>Made to Order - 16/02</t>
  </si>
  <si>
    <t>P99838</t>
  </si>
  <si>
    <t>SPLIT SHEET</t>
  </si>
  <si>
    <t>P0014299265</t>
  </si>
  <si>
    <t>REGAL SHEET - 80/20 PILLOWCASE LODGE 55X92+20CM 127GSM</t>
  </si>
  <si>
    <t>4320121</t>
  </si>
  <si>
    <t>SO00341602</t>
  </si>
  <si>
    <t>1CW3XL-3XL</t>
  </si>
  <si>
    <t>WHITE COVERALLS - 3XL - ELASTIC ON WRIST &amp; ANKLE NO HOOD</t>
  </si>
  <si>
    <t>1CWL-LARGE</t>
  </si>
  <si>
    <t>WHITE COVERALLS - LARGE - ELASTIC ON WRIST &amp; ANKLE NO HOOD</t>
  </si>
  <si>
    <t>1CWM-MEDIUM</t>
  </si>
  <si>
    <t>WHITE COVERALLS - MEDIUM - ELASTIC ON WRIST &amp; ANKLE NO HOOD</t>
  </si>
  <si>
    <t>1CWS-SMALL</t>
  </si>
  <si>
    <t>WHITE COVERALLS - SMALL - ELASTIC ON WRIST &amp; ANKLE NO HOOD</t>
  </si>
  <si>
    <t>1CWXL-XL</t>
  </si>
  <si>
    <t>WHITE COVERALLS - XL - ELASTIC ON WRIST &amp; ANKLE NO HOOD</t>
  </si>
  <si>
    <t>4315892</t>
  </si>
  <si>
    <t>SO00334558</t>
  </si>
  <si>
    <t>4316507</t>
  </si>
  <si>
    <t>SO00335439</t>
  </si>
  <si>
    <t>1CW2XL-2XL</t>
  </si>
  <si>
    <t>WHITE COVERALLS - 2XL - ELASTIC ON WRIST &amp; ANKLE NO HOOD</t>
  </si>
  <si>
    <t>WRAP FLANNELETTE 7359 RFID INVENGO CHIP</t>
  </si>
  <si>
    <t>GOWN BLUE STUD SHOULDER (13213 WITH RFID)</t>
  </si>
  <si>
    <t>GOWN PC STUD SHLD/CHEST GREEN</t>
  </si>
  <si>
    <t>SHEET QUEEN WHITE PC 2CM STRIPE SIZE 260X305 CM</t>
  </si>
  <si>
    <t>22290</t>
  </si>
  <si>
    <t>SO00372054</t>
  </si>
  <si>
    <t>SHEET OPERATING WHITE 100x250</t>
  </si>
  <si>
    <t>THEATRE GOWN</t>
  </si>
  <si>
    <t>BEDSPREAD SINGLE LATTE</t>
  </si>
  <si>
    <t>GOWN LAB BLUE/BLUE BARRIER 2PKTS (GREEN) SIZE 110</t>
  </si>
  <si>
    <t>22656</t>
  </si>
  <si>
    <t>SO00373263</t>
  </si>
  <si>
    <t>22574</t>
  </si>
  <si>
    <t>SO00373080</t>
  </si>
  <si>
    <t>HUCK TWL GREEN 60x90</t>
  </si>
  <si>
    <t>OVEN HOLDER GREEN TOWEL W. HAND HOLE</t>
  </si>
  <si>
    <t>22602</t>
  </si>
  <si>
    <t>SO00373156</t>
  </si>
  <si>
    <t>SO00373553</t>
  </si>
  <si>
    <t>22782</t>
  </si>
  <si>
    <t>SO00373677</t>
  </si>
  <si>
    <t>22809</t>
  </si>
  <si>
    <t>SO00373720</t>
  </si>
  <si>
    <t>22743</t>
  </si>
  <si>
    <t>WRAP BABY CT MUSLIN WHT 140X140CM SINGLE PLY</t>
  </si>
  <si>
    <t>22866</t>
  </si>
  <si>
    <t>SO00373912</t>
  </si>
  <si>
    <t>22900</t>
  </si>
  <si>
    <t>SO00374090</t>
  </si>
  <si>
    <t>23075</t>
  </si>
  <si>
    <t>SO00374529</t>
  </si>
  <si>
    <t>23050 &amp; 21937</t>
  </si>
  <si>
    <t>SO00374474</t>
  </si>
  <si>
    <t>BAG POLY LINEN BLUE ZIP 37X37X75</t>
  </si>
  <si>
    <t>23053</t>
  </si>
  <si>
    <t>SO00374497</t>
  </si>
  <si>
    <t>SHEET PROC PC BLUE 50X140 RFID</t>
  </si>
  <si>
    <t>SHEET WHITE C28 PAT 1661 RFID INVENGO CHIP</t>
  </si>
  <si>
    <t>SO00374091</t>
  </si>
  <si>
    <t>COAT PYJ GREEN XL/43 4576 RFID  INVENGO CHIP</t>
  </si>
  <si>
    <t>PYJAMA PANT SUMMER/6 5572 RFID INVENGO CHIP</t>
  </si>
  <si>
    <t>22899</t>
  </si>
  <si>
    <t>SO00374088</t>
  </si>
  <si>
    <t>23049</t>
  </si>
  <si>
    <t>SO00374473</t>
  </si>
  <si>
    <t>SOCK COTTON HB WHITE (EACH) FSH RFID 7351 INVENGO CHIP</t>
  </si>
  <si>
    <t>GOWN P/C PATIENT NAVY OBESE SS PC #10972 WITH RFID</t>
  </si>
  <si>
    <t>TOP PYJAMA 2XL MAROON PC#11395 RFID</t>
  </si>
  <si>
    <t>23050</t>
  </si>
  <si>
    <t>SO00374564</t>
  </si>
  <si>
    <t>PANT PYJAMA ADULT BLUE PC# 11396 WITH RFID</t>
  </si>
  <si>
    <t>TOP PYJAMA ADULT BLUE PC#11397 WITH RFID</t>
  </si>
  <si>
    <t>23209</t>
  </si>
  <si>
    <t>SO00375008</t>
  </si>
  <si>
    <t>SHEET 150X190 COT WHITE</t>
  </si>
  <si>
    <t>23186</t>
  </si>
  <si>
    <t>23290</t>
  </si>
  <si>
    <t>SO00375233</t>
  </si>
  <si>
    <t>SCRUB P/C TOP XL GRN WHT TAG SURGEON RFID</t>
  </si>
  <si>
    <t>23236</t>
  </si>
  <si>
    <t>SO00375048</t>
  </si>
  <si>
    <t>SO00375234</t>
  </si>
  <si>
    <t>CLOTH PRIVACY CT WH 60X60 RFID</t>
  </si>
  <si>
    <t>SO00374945</t>
  </si>
  <si>
    <t>SHEET CP COT WH/GR 160X100 FSH</t>
  </si>
  <si>
    <t>PYJAMA PANTS TEAL SIZE AL/43 PC #4577 WITH RFID</t>
  </si>
  <si>
    <t>PANT PJYAMA 2XL MAROON PC # 11934 WITH RFID</t>
  </si>
  <si>
    <t>Towel cotton white/Ambulance 60x82 with RFID</t>
  </si>
  <si>
    <t>DRAPE POLY BARRIER BACK TABLE COVER</t>
  </si>
  <si>
    <t>DRAPE POLY BARRIER GENERAL SIDE 96 x 114cm</t>
  </si>
  <si>
    <t>DRAPE POLY BARRIER FOOT END</t>
  </si>
  <si>
    <t>DRAPE POLY BARRIER MAYO COVER</t>
  </si>
  <si>
    <t>23404</t>
  </si>
  <si>
    <t>SO00375585</t>
  </si>
  <si>
    <t>23417</t>
  </si>
  <si>
    <t>SO00375574</t>
  </si>
  <si>
    <t>COVER MAYO XL 88x140</t>
  </si>
  <si>
    <t>WRAP POLY BARRIER OUTER XL 137X183 RFID</t>
  </si>
  <si>
    <t>23400</t>
  </si>
  <si>
    <t>SO00375577</t>
  </si>
  <si>
    <t>TOWEL TEA BLUE ENSIGN  50X75</t>
  </si>
  <si>
    <t>23469</t>
  </si>
  <si>
    <t>SO00375756</t>
  </si>
  <si>
    <t>SO00375629</t>
  </si>
  <si>
    <t>DRAPE POLY BARRIER HEAD END RFID 250 x 135 cm</t>
  </si>
  <si>
    <t>GOWN LAB BLUE/BLUE BARRIER 2 PKTS (BURGUNDY) SIZE 095</t>
  </si>
  <si>
    <t>23682</t>
  </si>
  <si>
    <t>SO00376255</t>
  </si>
  <si>
    <t>23576</t>
  </si>
  <si>
    <t>SO00375951</t>
  </si>
  <si>
    <t>23577</t>
  </si>
  <si>
    <t>SO00375947</t>
  </si>
  <si>
    <t>Dressing Gown G18 Blue &amp; white Stripe RFID</t>
  </si>
  <si>
    <t>23609</t>
  </si>
  <si>
    <t>SO00376114</t>
  </si>
  <si>
    <t>23641</t>
  </si>
  <si>
    <t>SO00376165</t>
  </si>
  <si>
    <t>GOWN LAB BLUE/BLUE BARRIER 2 PKTS (RED) SIZE 100</t>
  </si>
  <si>
    <t>LAB GOWN L/S XLARGE YELLOW TAPE</t>
  </si>
  <si>
    <t>Yes</t>
  </si>
  <si>
    <t>23737</t>
  </si>
  <si>
    <t>SO00376428</t>
  </si>
  <si>
    <t>23890</t>
  </si>
  <si>
    <t>SO00376885</t>
  </si>
  <si>
    <t>TEA TOWEL PRINTED 47x75</t>
  </si>
  <si>
    <t>23913</t>
  </si>
  <si>
    <t>SO00377006</t>
  </si>
  <si>
    <t>23900</t>
  </si>
  <si>
    <t>SO00377014</t>
  </si>
  <si>
    <t>DRAPE GREEN SINGLE 90x152</t>
  </si>
  <si>
    <t>COVER SINGLE MAYO 69x124cm</t>
  </si>
  <si>
    <t>Gown Surgical Level 2 RFID</t>
  </si>
  <si>
    <t>23917</t>
  </si>
  <si>
    <t>SO00377053</t>
  </si>
  <si>
    <t>FACE WASHER 35X35 SAND</t>
  </si>
  <si>
    <t>PANTS SURG GREEN MEDIUM RFID</t>
  </si>
  <si>
    <t>23976</t>
  </si>
  <si>
    <t>SO00377456</t>
  </si>
  <si>
    <t>COVER DUVET KING COTTON WHITE W HOTEL</t>
  </si>
  <si>
    <t>23827</t>
  </si>
  <si>
    <t>SO00376667</t>
  </si>
  <si>
    <t>GOWN LAB BLUE/BLUE BARRIER 2 PKTS (BLUE) SIZE 090</t>
  </si>
  <si>
    <t>GOWN LAB BLUE/BLUE BARRIER 2 PKTS (PURPLE) SIZE 115</t>
  </si>
  <si>
    <t>24066</t>
  </si>
  <si>
    <t>SO00377454</t>
  </si>
  <si>
    <t>24069</t>
  </si>
  <si>
    <t>SO00377455</t>
  </si>
  <si>
    <t>24089</t>
  </si>
  <si>
    <t>SO00377496</t>
  </si>
  <si>
    <t>WIPER CLOTH 53x45 IVORY</t>
  </si>
  <si>
    <t>24064</t>
  </si>
  <si>
    <t>SO00377414</t>
  </si>
  <si>
    <t>SHEET BASSINETTE 1500 RFID INVENGO CHIP</t>
  </si>
  <si>
    <t>SO00377416</t>
  </si>
  <si>
    <t>GOWN P/C NIGHT PINK FLORAL LRG SS #1771 WITH RFID</t>
  </si>
  <si>
    <t>24074</t>
  </si>
  <si>
    <t>SO00377451</t>
  </si>
  <si>
    <t>24073</t>
  </si>
  <si>
    <t>SO00377453</t>
  </si>
  <si>
    <t>15273KKK</t>
  </si>
  <si>
    <t>BAG LINEN GREY 7465 RFID INVENGO CHIP NEW TOGGLE</t>
  </si>
  <si>
    <t>24211</t>
  </si>
  <si>
    <t>SO00377846</t>
  </si>
  <si>
    <t>24268</t>
  </si>
  <si>
    <t>SO00377960</t>
  </si>
  <si>
    <t>24312</t>
  </si>
  <si>
    <t>SO00378055</t>
  </si>
  <si>
    <t>On Pick</t>
  </si>
  <si>
    <t>24217</t>
  </si>
  <si>
    <t>SO00377847</t>
  </si>
  <si>
    <t>BATH MAT 5 STAR</t>
  </si>
  <si>
    <t>SO00377848</t>
  </si>
  <si>
    <t>24351</t>
  </si>
  <si>
    <t>SO00378165</t>
  </si>
  <si>
    <t>24430</t>
  </si>
  <si>
    <t>SO00378358</t>
  </si>
  <si>
    <t>24431</t>
  </si>
  <si>
    <t>SO00378383</t>
  </si>
  <si>
    <t>24328</t>
  </si>
  <si>
    <t>SO00378094</t>
  </si>
  <si>
    <t>GOWN LAB BLUE/BLUE BARRIER 2PKTS SIZE 080</t>
  </si>
  <si>
    <t>24329</t>
  </si>
  <si>
    <t>SO00378092</t>
  </si>
  <si>
    <t>24342</t>
  </si>
  <si>
    <t>SO00378123</t>
  </si>
  <si>
    <t>24343</t>
  </si>
  <si>
    <t>SO00378125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</si>
</sst>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%;\-0%;0%"/>
    <numFmt numFmtId="165" formatCode="[$-C09]dd\-mmm\-yy;@"/>
    <numFmt numFmtId="166" formatCode="&quot;$&quot;#,##0.00"/>
    <numFmt numFmtId="167" formatCode="&quot;$&quot;#,##0"/>
    <numFmt numFmtId="168" formatCode="\$#,##0;\(\$#,##0\);\$#,##0"/>
  </numFmts>
  <fonts count="22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11"/>
      <name val="Aptos Narrow"/>
      <family val="2"/>
    </font>
    <font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b/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5" fillId="0" borderId="0"/>
    <xf numFmtId="0" fontId="17" fillId="0" borderId="0"/>
    <xf numFmtId="0" fontId="18" fillId="0" borderId="0"/>
    <xf numFmtId="0" fontId="20" fillId="0" borderId="0"/>
    <xf numFmtId="0" fontId="21" fillId="0" borderId="0"/>
  </cellStyleXfs>
  <cellXfs count="89">
    <xf numFmtId="0" fontId="0" fillId="0" borderId="0" xfId="0"/>
    <xf numFmtId="0" fontId="4" fillId="0" borderId="0" xfId="2" applyFont="1" applyAlignment="1">
      <alignment horizontal="center"/>
    </xf>
    <xf numFmtId="0" fontId="4" fillId="0" borderId="0" xfId="2" applyFont="1"/>
    <xf numFmtId="0" fontId="2" fillId="0" borderId="0" xfId="2"/>
    <xf numFmtId="0" fontId="2" fillId="0" borderId="0" xfId="2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6" fontId="7" fillId="3" borderId="1" xfId="1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12" fillId="0" borderId="0" xfId="6" applyFont="1" applyAlignment="1">
      <alignment horizontal="left" vertical="center" indent="1"/>
    </xf>
    <xf numFmtId="14" fontId="6" fillId="0" borderId="0" xfId="6" applyNumberFormat="1" applyFont="1" applyAlignment="1">
      <alignment horizontal="center"/>
    </xf>
    <xf numFmtId="0" fontId="6" fillId="0" borderId="0" xfId="6" applyFont="1" applyAlignment="1">
      <alignment horizontal="center"/>
    </xf>
    <xf numFmtId="0" fontId="6" fillId="0" borderId="0" xfId="6" applyFont="1"/>
    <xf numFmtId="0" fontId="13" fillId="0" borderId="0" xfId="6" applyFont="1" applyAlignment="1">
      <alignment horizontal="center" vertical="center"/>
    </xf>
    <xf numFmtId="168" fontId="13" fillId="0" borderId="0" xfId="6" applyNumberFormat="1" applyFont="1" applyAlignment="1">
      <alignment horizontal="center" vertical="center"/>
    </xf>
    <xf numFmtId="0" fontId="7" fillId="4" borderId="1" xfId="6" applyFont="1" applyFill="1" applyBorder="1" applyAlignment="1">
      <alignment horizontal="center" vertical="center" wrapText="1"/>
    </xf>
    <xf numFmtId="14" fontId="7" fillId="4" borderId="1" xfId="6" applyNumberFormat="1" applyFont="1" applyFill="1" applyBorder="1" applyAlignment="1">
      <alignment horizontal="center" vertical="center" wrapText="1"/>
    </xf>
    <xf numFmtId="0" fontId="6" fillId="0" borderId="0" xfId="6" applyFont="1" applyAlignment="1">
      <alignment wrapText="1"/>
    </xf>
    <xf numFmtId="0" fontId="6" fillId="0" borderId="1" xfId="6" applyFont="1" applyBorder="1" applyAlignment="1">
      <alignment horizontal="center"/>
    </xf>
    <xf numFmtId="14" fontId="6" fillId="0" borderId="1" xfId="6" applyNumberFormat="1" applyFont="1" applyBorder="1" applyAlignment="1">
      <alignment horizontal="center"/>
    </xf>
    <xf numFmtId="0" fontId="6" fillId="0" borderId="1" xfId="6" applyFont="1" applyBorder="1"/>
    <xf numFmtId="1" fontId="6" fillId="0" borderId="1" xfId="6" applyNumberFormat="1" applyFont="1" applyBorder="1" applyAlignment="1">
      <alignment horizontal="center"/>
    </xf>
    <xf numFmtId="164" fontId="6" fillId="0" borderId="1" xfId="6" applyNumberFormat="1" applyFont="1" applyBorder="1" applyAlignment="1">
      <alignment horizontal="center"/>
    </xf>
    <xf numFmtId="168" fontId="6" fillId="0" borderId="1" xfId="6" applyNumberFormat="1" applyFont="1" applyBorder="1" applyAlignment="1">
      <alignment horizontal="center"/>
    </xf>
    <xf numFmtId="14" fontId="6" fillId="5" borderId="1" xfId="6" applyNumberFormat="1" applyFont="1" applyFill="1" applyBorder="1" applyAlignment="1">
      <alignment horizontal="center"/>
    </xf>
    <xf numFmtId="0" fontId="14" fillId="0" borderId="1" xfId="6" applyFont="1" applyBorder="1"/>
    <xf numFmtId="0" fontId="7" fillId="6" borderId="1" xfId="6" applyFont="1" applyFill="1" applyBorder="1" applyAlignment="1">
      <alignment horizontal="center" vertical="center" wrapText="1"/>
    </xf>
    <xf numFmtId="14" fontId="7" fillId="6" borderId="1" xfId="6" applyNumberFormat="1" applyFont="1" applyFill="1" applyBorder="1" applyAlignment="1">
      <alignment horizontal="center" vertical="center" wrapText="1"/>
    </xf>
    <xf numFmtId="166" fontId="13" fillId="0" borderId="0" xfId="6" applyNumberFormat="1" applyFont="1" applyAlignment="1">
      <alignment horizontal="center" vertical="center"/>
    </xf>
    <xf numFmtId="166" fontId="7" fillId="4" borderId="1" xfId="6" applyNumberFormat="1" applyFont="1" applyFill="1" applyBorder="1" applyAlignment="1">
      <alignment horizontal="center" vertical="center" wrapText="1"/>
    </xf>
    <xf numFmtId="166" fontId="6" fillId="0" borderId="1" xfId="6" applyNumberFormat="1" applyFont="1" applyBorder="1" applyAlignment="1">
      <alignment horizontal="center"/>
    </xf>
    <xf numFmtId="166" fontId="6" fillId="0" borderId="0" xfId="6" applyNumberFormat="1" applyFont="1" applyAlignment="1">
      <alignment horizontal="center"/>
    </xf>
    <xf numFmtId="0" fontId="1" fillId="0" borderId="0" xfId="2" applyFont="1"/>
    <xf numFmtId="0" fontId="6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167" fontId="7" fillId="3" borderId="1" xfId="1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4" fontId="6" fillId="5" borderId="1" xfId="6" applyNumberFormat="1" applyFont="1" applyFill="1" applyBorder="1" applyAlignment="1">
      <alignment horizontal="left"/>
    </xf>
    <xf numFmtId="165" fontId="8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indent="1"/>
    </xf>
    <xf numFmtId="1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166" fontId="19" fillId="0" borderId="0" xfId="0" applyNumberFormat="1" applyFon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 indent="1"/>
    </xf>
    <xf numFmtId="3" fontId="19" fillId="2" borderId="1" xfId="0" applyNumberFormat="1" applyFont="1" applyFill="1" applyBorder="1" applyAlignment="1">
      <alignment horizontal="center" vertical="center" wrapText="1"/>
    </xf>
    <xf numFmtId="9" fontId="19" fillId="2" borderId="1" xfId="0" applyNumberFormat="1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right"/>
    </xf>
    <xf numFmtId="166" fontId="19" fillId="2" borderId="1" xfId="1" applyNumberFormat="1" applyFont="1" applyFill="1" applyBorder="1" applyAlignment="1">
      <alignment horizontal="right" vertical="center" wrapText="1"/>
    </xf>
    <xf numFmtId="167" fontId="16" fillId="0" borderId="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</cellXfs>
  <cellStyles count="13">
    <cellStyle name="Currency" xfId="1" builtinId="4"/>
    <cellStyle name="Currency 2" xfId="4" xr:uid="{00000000-0005-0000-0000-000031000000}"/>
    <cellStyle name="Normal" xfId="0" builtinId="0"/>
    <cellStyle name="Normal 2" xfId="2" xr:uid="{D299C18A-E3D9-4123-922F-4B9C36E33021}"/>
    <cellStyle name="Normal 2 2" xfId="7" xr:uid="{7BA2CD70-D2B7-472D-A8DE-CF41CCE2936A}"/>
    <cellStyle name="Normal 3" xfId="3" xr:uid="{3AC4828D-7FF0-4E09-85DB-A8C6DADA0EE8}"/>
    <cellStyle name="Normal 4" xfId="6" xr:uid="{00000000-0005-0000-0000-000033000000}"/>
    <cellStyle name="Normal 5" xfId="8" xr:uid="{43B2AAF9-2174-457F-9F2F-A1FA1CB3CE67}"/>
    <cellStyle name="Normal 6" xfId="9" xr:uid="{72D54A89-8357-411B-83C4-A83199385F73}"/>
    <cellStyle name="Normal 7" xfId="10" xr:uid="{5A5A1486-3757-45AA-A67A-2D3247227D3C}"/>
    <cellStyle name="Normal 8" xfId="11" xr:uid="{E8C7A70F-6839-47EE-ABA2-5FCD66170412}"/>
    <cellStyle name="Normal 9" xfId="12" xr:uid="{EDC41445-2577-41D3-BA23-59F0502F653D}"/>
    <cellStyle name="Percent 2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1:R118"/>
  <sheetViews>
    <sheetView tabSelected="1" zoomScale="90" zoomScaleNormal="90" workbookViewId="0">
      <pane xSplit="1" ySplit="2" topLeftCell="B3" activePane="bottomRight" state="frozen"/>
      <selection activeCell="C29" sqref="C29"/>
      <selection pane="topRight" activeCell="C29" sqref="C29"/>
      <selection pane="bottomLeft" activeCell="C29" sqref="C29"/>
      <selection pane="bottomRight" activeCell="N7" sqref="N7"/>
    </sheetView>
  </sheetViews>
  <sheetFormatPr defaultColWidth="8.85546875" defaultRowHeight="12.75" x14ac:dyDescent="0.25"/>
  <cols>
    <col min="1" max="1" width="17.140625" style="70" customWidth="1"/>
    <col min="2" max="2" width="8.7109375" style="70" customWidth="1"/>
    <col min="3" max="3" width="11.42578125" style="71" customWidth="1"/>
    <col min="4" max="4" width="8.42578125" style="70" customWidth="1"/>
    <col min="5" max="5" width="12.7109375" style="70" hidden="1" customWidth="1"/>
    <col min="6" max="6" width="9" style="70" customWidth="1"/>
    <col min="7" max="7" width="43.7109375" style="72" customWidth="1"/>
    <col min="8" max="8" width="10.85546875" style="70" customWidth="1"/>
    <col min="9" max="10" width="10.85546875" style="70" hidden="1" customWidth="1"/>
    <col min="11" max="11" width="10.85546875" style="70" customWidth="1"/>
    <col min="12" max="12" width="9.5703125" style="70" customWidth="1"/>
    <col min="13" max="13" width="8.7109375" style="84" customWidth="1"/>
    <col min="14" max="14" width="11.7109375" style="88" customWidth="1"/>
    <col min="15" max="15" width="12.140625" style="71" customWidth="1"/>
    <col min="16" max="16" width="6.7109375" style="70" customWidth="1"/>
    <col min="17" max="17" width="9.7109375" style="70" customWidth="1"/>
    <col min="18" max="18" width="49.7109375" style="74" customWidth="1"/>
    <col min="19" max="16384" width="8.85546875" style="75"/>
  </cols>
  <sheetData>
    <row r="1" spans="1:18" x14ac:dyDescent="0.2">
      <c r="M1" s="73" t="s">
        <v>44</v>
      </c>
      <c r="N1" s="85">
        <f>SUM(N3:N117)</f>
        <v>41245.699999999997</v>
      </c>
    </row>
    <row r="2" spans="1:18" s="83" customFormat="1" ht="38.25" x14ac:dyDescent="0.25">
      <c r="A2" s="76" t="s">
        <v>13</v>
      </c>
      <c r="B2" s="76" t="s">
        <v>2</v>
      </c>
      <c r="C2" s="77" t="s">
        <v>39</v>
      </c>
      <c r="D2" s="78" t="s">
        <v>41</v>
      </c>
      <c r="E2" s="76" t="s">
        <v>1</v>
      </c>
      <c r="F2" s="18" t="s">
        <v>37</v>
      </c>
      <c r="G2" s="79" t="s">
        <v>38</v>
      </c>
      <c r="H2" s="80" t="s">
        <v>3</v>
      </c>
      <c r="I2" s="80" t="s">
        <v>4</v>
      </c>
      <c r="J2" s="81" t="s">
        <v>5</v>
      </c>
      <c r="K2" s="80" t="s">
        <v>6</v>
      </c>
      <c r="L2" s="80" t="s">
        <v>7</v>
      </c>
      <c r="M2" s="82" t="s">
        <v>12</v>
      </c>
      <c r="N2" s="86" t="s">
        <v>8</v>
      </c>
      <c r="O2" s="19" t="s">
        <v>40</v>
      </c>
      <c r="P2" s="76" t="s">
        <v>0</v>
      </c>
      <c r="Q2" s="76" t="s">
        <v>43</v>
      </c>
      <c r="R2" s="76" t="s">
        <v>42</v>
      </c>
    </row>
    <row r="3" spans="1:18" ht="12.75" customHeight="1" x14ac:dyDescent="0.25">
      <c r="A3" s="63" t="str">
        <f>VLOOKUP(B3,Plants!$A$2:$B$39,2,0)</f>
        <v>Dandenong</v>
      </c>
      <c r="B3" s="63">
        <v>35</v>
      </c>
      <c r="C3" s="64">
        <v>46037</v>
      </c>
      <c r="D3" s="63" t="s">
        <v>187</v>
      </c>
      <c r="E3" s="63" t="s">
        <v>188</v>
      </c>
      <c r="F3" s="63">
        <v>1728</v>
      </c>
      <c r="G3" s="65" t="s">
        <v>191</v>
      </c>
      <c r="H3" s="66">
        <v>240</v>
      </c>
      <c r="I3" s="66">
        <v>0</v>
      </c>
      <c r="J3" s="67">
        <v>0</v>
      </c>
      <c r="K3" s="66">
        <v>240</v>
      </c>
      <c r="L3" s="66">
        <v>0</v>
      </c>
      <c r="M3" s="68">
        <v>3.09</v>
      </c>
      <c r="N3" s="87">
        <v>741.59999999999991</v>
      </c>
      <c r="O3" s="64">
        <v>46185</v>
      </c>
      <c r="P3" s="63" t="s">
        <v>57</v>
      </c>
      <c r="Q3" s="63" t="s">
        <v>276</v>
      </c>
      <c r="R3" s="69"/>
    </row>
    <row r="4" spans="1:18" x14ac:dyDescent="0.25">
      <c r="A4" s="7" t="str">
        <f>VLOOKUP(B4,Plants!$A$2:$B$39,2,0)</f>
        <v>Dandenong</v>
      </c>
      <c r="B4" s="63">
        <v>35</v>
      </c>
      <c r="C4" s="64">
        <v>46063</v>
      </c>
      <c r="D4" s="63" t="s">
        <v>206</v>
      </c>
      <c r="E4" s="63" t="s">
        <v>207</v>
      </c>
      <c r="F4" s="63">
        <v>1728</v>
      </c>
      <c r="G4" s="65" t="s">
        <v>191</v>
      </c>
      <c r="H4" s="66">
        <v>800</v>
      </c>
      <c r="I4" s="66">
        <v>0</v>
      </c>
      <c r="J4" s="67">
        <v>0</v>
      </c>
      <c r="K4" s="66">
        <v>800</v>
      </c>
      <c r="L4" s="66">
        <v>0</v>
      </c>
      <c r="M4" s="68">
        <v>3.09</v>
      </c>
      <c r="N4" s="87">
        <v>2472</v>
      </c>
      <c r="O4" s="64">
        <v>46185</v>
      </c>
      <c r="P4" s="63" t="s">
        <v>57</v>
      </c>
      <c r="Q4" s="63" t="s">
        <v>276</v>
      </c>
      <c r="R4" s="69"/>
    </row>
    <row r="5" spans="1:18" x14ac:dyDescent="0.25">
      <c r="A5" s="7" t="str">
        <f>VLOOKUP(B5,Plants!$A$2:$B$39,2,0)</f>
        <v>Dandenong</v>
      </c>
      <c r="B5" s="63">
        <v>35</v>
      </c>
      <c r="C5" s="64">
        <v>46097</v>
      </c>
      <c r="D5" s="63" t="s">
        <v>263</v>
      </c>
      <c r="E5" s="63" t="s">
        <v>264</v>
      </c>
      <c r="F5" s="63">
        <v>1728</v>
      </c>
      <c r="G5" s="65" t="s">
        <v>191</v>
      </c>
      <c r="H5" s="66">
        <v>400</v>
      </c>
      <c r="I5" s="66">
        <v>0</v>
      </c>
      <c r="J5" s="67">
        <v>0</v>
      </c>
      <c r="K5" s="66">
        <v>400</v>
      </c>
      <c r="L5" s="66">
        <v>0</v>
      </c>
      <c r="M5" s="68">
        <v>3.09</v>
      </c>
      <c r="N5" s="87">
        <v>1236</v>
      </c>
      <c r="O5" s="64">
        <v>46185</v>
      </c>
      <c r="P5" s="63" t="s">
        <v>57</v>
      </c>
      <c r="Q5" s="63" t="s">
        <v>276</v>
      </c>
      <c r="R5" s="69"/>
    </row>
    <row r="6" spans="1:18" x14ac:dyDescent="0.25">
      <c r="A6" s="63" t="str">
        <f>VLOOKUP(B6,Plants!$A$2:$B$39,2,0)</f>
        <v>Dandenong</v>
      </c>
      <c r="B6" s="63">
        <v>35</v>
      </c>
      <c r="C6" s="64">
        <v>46120</v>
      </c>
      <c r="D6" s="63" t="s">
        <v>304</v>
      </c>
      <c r="E6" s="63" t="s">
        <v>305</v>
      </c>
      <c r="F6" s="63">
        <v>1093</v>
      </c>
      <c r="G6" s="65" t="s">
        <v>281</v>
      </c>
      <c r="H6" s="66">
        <v>1000</v>
      </c>
      <c r="I6" s="66">
        <v>0</v>
      </c>
      <c r="J6" s="67">
        <v>0</v>
      </c>
      <c r="K6" s="66">
        <v>1000</v>
      </c>
      <c r="L6" s="66">
        <v>0</v>
      </c>
      <c r="M6" s="68">
        <v>0.75</v>
      </c>
      <c r="N6" s="87">
        <v>750</v>
      </c>
      <c r="O6" s="64">
        <v>46171</v>
      </c>
      <c r="P6" s="63" t="s">
        <v>57</v>
      </c>
      <c r="Q6" s="63" t="s">
        <v>276</v>
      </c>
      <c r="R6" s="69"/>
    </row>
    <row r="7" spans="1:18" x14ac:dyDescent="0.25">
      <c r="A7" s="7" t="str">
        <f>VLOOKUP(B7,Plants!$A$2:$B$39,2,0)</f>
        <v>Darra Garments</v>
      </c>
      <c r="B7" s="63">
        <v>42</v>
      </c>
      <c r="C7" s="64">
        <v>46120</v>
      </c>
      <c r="D7" s="63" t="s">
        <v>302</v>
      </c>
      <c r="E7" s="63" t="s">
        <v>303</v>
      </c>
      <c r="F7" s="63">
        <v>1093</v>
      </c>
      <c r="G7" s="65" t="s">
        <v>281</v>
      </c>
      <c r="H7" s="66">
        <v>6000</v>
      </c>
      <c r="I7" s="66">
        <v>0</v>
      </c>
      <c r="J7" s="67">
        <v>0</v>
      </c>
      <c r="K7" s="66">
        <v>6000</v>
      </c>
      <c r="L7" s="66">
        <v>0</v>
      </c>
      <c r="M7" s="68">
        <v>0.75</v>
      </c>
      <c r="N7" s="87">
        <v>4500</v>
      </c>
      <c r="O7" s="64">
        <v>46171</v>
      </c>
      <c r="P7" s="63" t="s">
        <v>57</v>
      </c>
      <c r="Q7" s="63" t="s">
        <v>276</v>
      </c>
      <c r="R7" s="69"/>
    </row>
    <row r="8" spans="1:18" x14ac:dyDescent="0.25">
      <c r="A8" s="63" t="str">
        <f>VLOOKUP(B8,Plants!$A$2:$B$39,2,0)</f>
        <v>Darra Linen</v>
      </c>
      <c r="B8" s="63">
        <v>41</v>
      </c>
      <c r="C8" s="64">
        <v>46127</v>
      </c>
      <c r="D8" s="63" t="s">
        <v>325</v>
      </c>
      <c r="E8" s="63" t="s">
        <v>326</v>
      </c>
      <c r="F8" s="63">
        <v>11450</v>
      </c>
      <c r="G8" s="65" t="s">
        <v>327</v>
      </c>
      <c r="H8" s="66">
        <v>2000</v>
      </c>
      <c r="I8" s="66">
        <v>320</v>
      </c>
      <c r="J8" s="67">
        <v>0.16</v>
      </c>
      <c r="K8" s="66">
        <v>1680</v>
      </c>
      <c r="L8" s="66">
        <v>0</v>
      </c>
      <c r="M8" s="68">
        <v>3.44</v>
      </c>
      <c r="N8" s="87">
        <v>5779.2</v>
      </c>
      <c r="O8" s="64">
        <v>46164</v>
      </c>
      <c r="P8" s="63" t="s">
        <v>57</v>
      </c>
      <c r="Q8" s="63" t="s">
        <v>276</v>
      </c>
      <c r="R8" s="69"/>
    </row>
    <row r="9" spans="1:18" x14ac:dyDescent="0.25">
      <c r="A9" s="7" t="str">
        <f>VLOOKUP(B9,Plants!$A$2:$B$39,2,0)</f>
        <v>Murdoch Linen</v>
      </c>
      <c r="B9" s="63">
        <v>77</v>
      </c>
      <c r="C9" s="64">
        <v>46056</v>
      </c>
      <c r="D9" s="63" t="s">
        <v>204</v>
      </c>
      <c r="E9" s="63" t="s">
        <v>205</v>
      </c>
      <c r="F9" s="63">
        <v>1728</v>
      </c>
      <c r="G9" s="65" t="s">
        <v>191</v>
      </c>
      <c r="H9" s="66">
        <v>800</v>
      </c>
      <c r="I9" s="66">
        <v>0</v>
      </c>
      <c r="J9" s="67">
        <v>0</v>
      </c>
      <c r="K9" s="66">
        <v>800</v>
      </c>
      <c r="L9" s="66">
        <v>0</v>
      </c>
      <c r="M9" s="68">
        <v>3.09</v>
      </c>
      <c r="N9" s="87">
        <v>2472</v>
      </c>
      <c r="O9" s="64">
        <v>46185</v>
      </c>
      <c r="P9" s="63" t="s">
        <v>57</v>
      </c>
      <c r="Q9" s="63" t="s">
        <v>276</v>
      </c>
      <c r="R9" s="69"/>
    </row>
    <row r="10" spans="1:18" x14ac:dyDescent="0.25">
      <c r="A10" s="7" t="str">
        <f>VLOOKUP(B10,Plants!$A$2:$B$39,2,0)</f>
        <v>Murdoch Linen</v>
      </c>
      <c r="B10" s="63">
        <v>77</v>
      </c>
      <c r="C10" s="64">
        <v>46132</v>
      </c>
      <c r="D10" s="63" t="s">
        <v>322</v>
      </c>
      <c r="E10" s="63" t="s">
        <v>323</v>
      </c>
      <c r="F10" s="63">
        <v>1093</v>
      </c>
      <c r="G10" s="65" t="s">
        <v>281</v>
      </c>
      <c r="H10" s="66">
        <v>10800</v>
      </c>
      <c r="I10" s="66">
        <v>0</v>
      </c>
      <c r="J10" s="67">
        <v>0</v>
      </c>
      <c r="K10" s="66">
        <v>10800</v>
      </c>
      <c r="L10" s="66">
        <v>0</v>
      </c>
      <c r="M10" s="68">
        <v>0.75</v>
      </c>
      <c r="N10" s="87">
        <v>8100</v>
      </c>
      <c r="O10" s="64">
        <v>46171</v>
      </c>
      <c r="P10" s="63" t="s">
        <v>57</v>
      </c>
      <c r="Q10" s="63" t="s">
        <v>276</v>
      </c>
      <c r="R10" s="69"/>
    </row>
    <row r="11" spans="1:18" x14ac:dyDescent="0.25">
      <c r="A11" s="63" t="str">
        <f>VLOOKUP(B11,Plants!$A$2:$B$39,2,0)</f>
        <v>Punchbowl</v>
      </c>
      <c r="B11" s="63">
        <v>21</v>
      </c>
      <c r="C11" s="64">
        <v>46120</v>
      </c>
      <c r="D11" s="63" t="s">
        <v>300</v>
      </c>
      <c r="E11" s="63" t="s">
        <v>301</v>
      </c>
      <c r="F11" s="63">
        <v>1093</v>
      </c>
      <c r="G11" s="65" t="s">
        <v>281</v>
      </c>
      <c r="H11" s="66">
        <v>8000</v>
      </c>
      <c r="I11" s="66">
        <v>1098</v>
      </c>
      <c r="J11" s="67">
        <v>0.13725000000000001</v>
      </c>
      <c r="K11" s="66">
        <v>6902</v>
      </c>
      <c r="L11" s="66">
        <v>0</v>
      </c>
      <c r="M11" s="68">
        <v>0.75</v>
      </c>
      <c r="N11" s="87">
        <v>5176.5</v>
      </c>
      <c r="O11" s="64">
        <v>46171</v>
      </c>
      <c r="P11" s="63" t="s">
        <v>57</v>
      </c>
      <c r="Q11" s="63" t="s">
        <v>276</v>
      </c>
      <c r="R11" s="69"/>
    </row>
    <row r="12" spans="1:18" x14ac:dyDescent="0.25">
      <c r="A12" s="63" t="str">
        <f>VLOOKUP(B12,Plants!$A$2:$B$39,2,0)</f>
        <v>Rosebery</v>
      </c>
      <c r="B12" s="63">
        <v>75</v>
      </c>
      <c r="C12" s="64">
        <v>46043</v>
      </c>
      <c r="D12" s="63" t="s">
        <v>200</v>
      </c>
      <c r="E12" s="63" t="s">
        <v>195</v>
      </c>
      <c r="F12" s="63">
        <v>1728</v>
      </c>
      <c r="G12" s="65" t="s">
        <v>191</v>
      </c>
      <c r="H12" s="66">
        <v>560</v>
      </c>
      <c r="I12" s="66">
        <v>0</v>
      </c>
      <c r="J12" s="67">
        <v>0</v>
      </c>
      <c r="K12" s="66">
        <v>560</v>
      </c>
      <c r="L12" s="66">
        <v>0</v>
      </c>
      <c r="M12" s="68">
        <v>3.09</v>
      </c>
      <c r="N12" s="87">
        <v>1730.3999999999999</v>
      </c>
      <c r="O12" s="64">
        <v>46185</v>
      </c>
      <c r="P12" s="63" t="s">
        <v>57</v>
      </c>
      <c r="Q12" s="63" t="s">
        <v>276</v>
      </c>
      <c r="R12" s="69"/>
    </row>
    <row r="13" spans="1:18" x14ac:dyDescent="0.25">
      <c r="A13" s="7" t="str">
        <f>VLOOKUP(B13,Plants!$A$2:$B$39,2,0)</f>
        <v>SA Garments</v>
      </c>
      <c r="B13" s="63">
        <v>53</v>
      </c>
      <c r="C13" s="64">
        <v>46127</v>
      </c>
      <c r="D13" s="63" t="s">
        <v>318</v>
      </c>
      <c r="E13" s="63" t="s">
        <v>319</v>
      </c>
      <c r="F13" s="63">
        <v>1093</v>
      </c>
      <c r="G13" s="65" t="s">
        <v>281</v>
      </c>
      <c r="H13" s="66">
        <v>1000</v>
      </c>
      <c r="I13" s="66">
        <v>0</v>
      </c>
      <c r="J13" s="67">
        <v>0</v>
      </c>
      <c r="K13" s="66">
        <v>1000</v>
      </c>
      <c r="L13" s="66">
        <v>0</v>
      </c>
      <c r="M13" s="68">
        <v>0.75</v>
      </c>
      <c r="N13" s="87">
        <v>750</v>
      </c>
      <c r="O13" s="64">
        <v>46171</v>
      </c>
      <c r="P13" s="63" t="s">
        <v>57</v>
      </c>
      <c r="Q13" s="63" t="s">
        <v>276</v>
      </c>
      <c r="R13" s="69"/>
    </row>
    <row r="14" spans="1:18" x14ac:dyDescent="0.25">
      <c r="A14" s="63" t="str">
        <f>VLOOKUP(B14,Plants!$A$2:$B$39,2,0)</f>
        <v>SA Linen</v>
      </c>
      <c r="B14" s="63">
        <v>52</v>
      </c>
      <c r="C14" s="64">
        <v>46071</v>
      </c>
      <c r="D14" s="63" t="s">
        <v>229</v>
      </c>
      <c r="E14" s="63" t="s">
        <v>230</v>
      </c>
      <c r="F14" s="63">
        <v>8183</v>
      </c>
      <c r="G14" s="65" t="s">
        <v>231</v>
      </c>
      <c r="H14" s="66">
        <v>300</v>
      </c>
      <c r="I14" s="66">
        <v>100</v>
      </c>
      <c r="J14" s="67">
        <v>0.33333333333333331</v>
      </c>
      <c r="K14" s="66">
        <v>200</v>
      </c>
      <c r="L14" s="66">
        <v>0</v>
      </c>
      <c r="M14" s="68">
        <v>5.47</v>
      </c>
      <c r="N14" s="87">
        <v>1094</v>
      </c>
      <c r="O14" s="64">
        <v>46178</v>
      </c>
      <c r="P14" s="63" t="s">
        <v>57</v>
      </c>
      <c r="Q14" s="63" t="s">
        <v>276</v>
      </c>
      <c r="R14" s="69"/>
    </row>
    <row r="15" spans="1:18" x14ac:dyDescent="0.25">
      <c r="A15" s="63" t="str">
        <f>VLOOKUP(B15,Plants!$A$2:$B$39,2,0)</f>
        <v>SA Linen</v>
      </c>
      <c r="B15" s="63">
        <v>52</v>
      </c>
      <c r="C15" s="64">
        <v>46107</v>
      </c>
      <c r="D15" s="63" t="s">
        <v>279</v>
      </c>
      <c r="E15" s="63" t="s">
        <v>280</v>
      </c>
      <c r="F15" s="63">
        <v>1728</v>
      </c>
      <c r="G15" s="65" t="s">
        <v>191</v>
      </c>
      <c r="H15" s="66">
        <v>1600</v>
      </c>
      <c r="I15" s="66">
        <v>0</v>
      </c>
      <c r="J15" s="67">
        <v>0</v>
      </c>
      <c r="K15" s="66">
        <v>1600</v>
      </c>
      <c r="L15" s="66">
        <v>0</v>
      </c>
      <c r="M15" s="68">
        <v>3.09</v>
      </c>
      <c r="N15" s="87">
        <v>4944</v>
      </c>
      <c r="O15" s="64">
        <v>46185</v>
      </c>
      <c r="P15" s="63" t="s">
        <v>57</v>
      </c>
      <c r="Q15" s="63" t="s">
        <v>276</v>
      </c>
      <c r="R15" s="69"/>
    </row>
    <row r="16" spans="1:18" x14ac:dyDescent="0.25">
      <c r="A16" s="7" t="str">
        <f>VLOOKUP(B16,Plants!$A$2:$B$39,2,0)</f>
        <v>SA Linen</v>
      </c>
      <c r="B16" s="63">
        <v>52</v>
      </c>
      <c r="C16" s="64">
        <v>46134</v>
      </c>
      <c r="D16" s="63" t="s">
        <v>329</v>
      </c>
      <c r="E16" s="63" t="s">
        <v>330</v>
      </c>
      <c r="F16" s="63">
        <v>1093</v>
      </c>
      <c r="G16" s="65" t="s">
        <v>281</v>
      </c>
      <c r="H16" s="66">
        <v>2000</v>
      </c>
      <c r="I16" s="66">
        <v>0</v>
      </c>
      <c r="J16" s="67">
        <v>0</v>
      </c>
      <c r="K16" s="66">
        <v>2000</v>
      </c>
      <c r="L16" s="66">
        <v>0</v>
      </c>
      <c r="M16" s="68">
        <v>0.75</v>
      </c>
      <c r="N16" s="87">
        <v>1500</v>
      </c>
      <c r="O16" s="64">
        <v>46171</v>
      </c>
      <c r="P16" s="63" t="s">
        <v>57</v>
      </c>
      <c r="Q16" s="63" t="s">
        <v>276</v>
      </c>
      <c r="R16" s="69"/>
    </row>
    <row r="17" spans="1:18" x14ac:dyDescent="0.25">
      <c r="A17" s="63" t="e">
        <f>VLOOKUP(B17,Plants!$A$2:$B$39,2,0)</f>
        <v>#N/A</v>
      </c>
      <c r="B17" s="63"/>
      <c r="C17" s="64"/>
      <c r="D17" s="63"/>
      <c r="E17" s="63"/>
      <c r="F17" s="63"/>
      <c r="G17" s="65"/>
      <c r="H17" s="66"/>
      <c r="I17" s="66"/>
      <c r="J17" s="67"/>
      <c r="K17" s="66"/>
      <c r="L17" s="66"/>
      <c r="M17" s="68"/>
      <c r="N17" s="87"/>
      <c r="O17" s="64"/>
      <c r="P17" s="63"/>
      <c r="Q17" s="63"/>
      <c r="R17" s="69"/>
    </row>
    <row r="18" spans="1:18" x14ac:dyDescent="0.25">
      <c r="A18" s="63" t="e">
        <f>VLOOKUP(B18,Plants!$A$2:$B$39,2,0)</f>
        <v>#N/A</v>
      </c>
      <c r="B18" s="63"/>
      <c r="C18" s="64"/>
      <c r="D18" s="63"/>
      <c r="E18" s="63"/>
      <c r="F18" s="63"/>
      <c r="G18" s="65"/>
      <c r="H18" s="66"/>
      <c r="I18" s="66"/>
      <c r="J18" s="67"/>
      <c r="K18" s="66"/>
      <c r="L18" s="66"/>
      <c r="M18" s="68"/>
      <c r="N18" s="87"/>
      <c r="O18" s="64"/>
      <c r="P18" s="63"/>
      <c r="Q18" s="63"/>
      <c r="R18" s="69"/>
    </row>
    <row r="19" spans="1:18" x14ac:dyDescent="0.25">
      <c r="A19" s="7" t="e">
        <f>VLOOKUP(B19,Plants!$A$2:$B$39,2,0)</f>
        <v>#N/A</v>
      </c>
      <c r="B19" s="63"/>
      <c r="C19" s="64"/>
      <c r="D19" s="63"/>
      <c r="E19" s="63"/>
      <c r="F19" s="63"/>
      <c r="G19" s="65"/>
      <c r="H19" s="66"/>
      <c r="I19" s="66"/>
      <c r="J19" s="67"/>
      <c r="K19" s="66"/>
      <c r="L19" s="66"/>
      <c r="M19" s="68"/>
      <c r="N19" s="87"/>
      <c r="O19" s="64"/>
      <c r="P19" s="63"/>
      <c r="Q19" s="63"/>
      <c r="R19" s="69"/>
    </row>
    <row r="20" spans="1:18" x14ac:dyDescent="0.25">
      <c r="A20" s="7" t="e">
        <f>VLOOKUP(B20,Plants!$A$2:$B$39,2,0)</f>
        <v>#N/A</v>
      </c>
      <c r="B20" s="63"/>
      <c r="C20" s="64"/>
      <c r="D20" s="63"/>
      <c r="E20" s="63"/>
      <c r="F20" s="63"/>
      <c r="G20" s="65"/>
      <c r="H20" s="66"/>
      <c r="I20" s="66"/>
      <c r="J20" s="67"/>
      <c r="K20" s="66"/>
      <c r="L20" s="66"/>
      <c r="M20" s="68"/>
      <c r="N20" s="87"/>
      <c r="O20" s="64"/>
      <c r="P20" s="63"/>
      <c r="Q20" s="63"/>
      <c r="R20" s="69"/>
    </row>
    <row r="21" spans="1:18" x14ac:dyDescent="0.25">
      <c r="A21" s="7" t="e">
        <f>VLOOKUP(B21,Plants!$A$2:$B$39,2,0)</f>
        <v>#N/A</v>
      </c>
      <c r="B21" s="63"/>
      <c r="C21" s="64"/>
      <c r="D21" s="63"/>
      <c r="E21" s="63"/>
      <c r="F21" s="63"/>
      <c r="G21" s="65"/>
      <c r="H21" s="66"/>
      <c r="I21" s="66"/>
      <c r="J21" s="67"/>
      <c r="K21" s="66"/>
      <c r="L21" s="66"/>
      <c r="M21" s="68"/>
      <c r="N21" s="87"/>
      <c r="O21" s="64"/>
      <c r="P21" s="63"/>
      <c r="Q21" s="63"/>
      <c r="R21" s="69"/>
    </row>
    <row r="22" spans="1:18" x14ac:dyDescent="0.25">
      <c r="A22" s="7" t="e">
        <f>VLOOKUP(B22,Plants!$A$2:$B$39,2,0)</f>
        <v>#N/A</v>
      </c>
      <c r="B22" s="63"/>
      <c r="C22" s="64"/>
      <c r="D22" s="63"/>
      <c r="E22" s="63"/>
      <c r="F22" s="63"/>
      <c r="G22" s="65"/>
      <c r="H22" s="66"/>
      <c r="I22" s="66"/>
      <c r="J22" s="67"/>
      <c r="K22" s="66"/>
      <c r="L22" s="66"/>
      <c r="M22" s="68"/>
      <c r="N22" s="87"/>
      <c r="O22" s="64"/>
      <c r="P22" s="63"/>
      <c r="Q22" s="63"/>
      <c r="R22" s="69"/>
    </row>
    <row r="23" spans="1:18" x14ac:dyDescent="0.25">
      <c r="A23" s="7" t="e">
        <f>VLOOKUP(B23,Plants!$A$2:$B$39,2,0)</f>
        <v>#N/A</v>
      </c>
      <c r="B23" s="63"/>
      <c r="C23" s="64"/>
      <c r="D23" s="63"/>
      <c r="E23" s="63"/>
      <c r="F23" s="63"/>
      <c r="G23" s="65"/>
      <c r="H23" s="66"/>
      <c r="I23" s="66"/>
      <c r="J23" s="67"/>
      <c r="K23" s="66"/>
      <c r="L23" s="66"/>
      <c r="M23" s="68"/>
      <c r="N23" s="87"/>
      <c r="O23" s="64"/>
      <c r="P23" s="63"/>
      <c r="Q23" s="63"/>
      <c r="R23" s="69"/>
    </row>
    <row r="24" spans="1:18" x14ac:dyDescent="0.25">
      <c r="A24" s="63" t="e">
        <f>VLOOKUP(B24,Plants!$A$2:$B$39,2,0)</f>
        <v>#N/A</v>
      </c>
      <c r="B24" s="63"/>
      <c r="C24" s="64"/>
      <c r="D24" s="63"/>
      <c r="E24" s="63"/>
      <c r="F24" s="63"/>
      <c r="G24" s="65"/>
      <c r="H24" s="66"/>
      <c r="I24" s="66"/>
      <c r="J24" s="67"/>
      <c r="K24" s="66"/>
      <c r="L24" s="66"/>
      <c r="M24" s="68"/>
      <c r="N24" s="87"/>
      <c r="O24" s="64"/>
      <c r="P24" s="63"/>
      <c r="Q24" s="63"/>
      <c r="R24" s="69"/>
    </row>
    <row r="25" spans="1:18" x14ac:dyDescent="0.25">
      <c r="A25" s="7" t="e">
        <f>VLOOKUP(B25,Plants!$A$2:$B$39,2,0)</f>
        <v>#N/A</v>
      </c>
      <c r="B25" s="63"/>
      <c r="C25" s="64"/>
      <c r="D25" s="63"/>
      <c r="E25" s="63"/>
      <c r="F25" s="63"/>
      <c r="G25" s="65"/>
      <c r="H25" s="66"/>
      <c r="I25" s="66"/>
      <c r="J25" s="67"/>
      <c r="K25" s="66"/>
      <c r="L25" s="66"/>
      <c r="M25" s="68"/>
      <c r="N25" s="87"/>
      <c r="O25" s="64"/>
      <c r="P25" s="63"/>
      <c r="Q25" s="63"/>
      <c r="R25" s="69"/>
    </row>
    <row r="26" spans="1:18" x14ac:dyDescent="0.25">
      <c r="A26" s="7" t="e">
        <f>VLOOKUP(B26,Plants!$A$2:$B$39,2,0)</f>
        <v>#N/A</v>
      </c>
      <c r="B26" s="63"/>
      <c r="C26" s="64"/>
      <c r="D26" s="63"/>
      <c r="E26" s="63"/>
      <c r="F26" s="63"/>
      <c r="G26" s="65"/>
      <c r="H26" s="66"/>
      <c r="I26" s="66"/>
      <c r="J26" s="67"/>
      <c r="K26" s="66"/>
      <c r="L26" s="66"/>
      <c r="M26" s="68"/>
      <c r="N26" s="87"/>
      <c r="O26" s="64"/>
      <c r="P26" s="63"/>
      <c r="Q26" s="63"/>
      <c r="R26" s="69"/>
    </row>
    <row r="27" spans="1:18" x14ac:dyDescent="0.25">
      <c r="A27" s="63" t="e">
        <f>VLOOKUP(B27,Plants!$A$2:$B$39,2,0)</f>
        <v>#N/A</v>
      </c>
      <c r="B27" s="63"/>
      <c r="C27" s="64"/>
      <c r="D27" s="63"/>
      <c r="E27" s="63"/>
      <c r="F27" s="63"/>
      <c r="G27" s="65"/>
      <c r="H27" s="66"/>
      <c r="I27" s="66"/>
      <c r="J27" s="67"/>
      <c r="K27" s="66"/>
      <c r="L27" s="66"/>
      <c r="M27" s="68"/>
      <c r="N27" s="87"/>
      <c r="O27" s="64"/>
      <c r="P27" s="63"/>
      <c r="Q27" s="63"/>
      <c r="R27" s="69"/>
    </row>
    <row r="28" spans="1:18" x14ac:dyDescent="0.25">
      <c r="A28" s="63" t="e">
        <f>VLOOKUP(B28,Plants!$A$2:$B$39,2,0)</f>
        <v>#N/A</v>
      </c>
      <c r="B28" s="63"/>
      <c r="C28" s="64"/>
      <c r="D28" s="63"/>
      <c r="E28" s="63"/>
      <c r="F28" s="63"/>
      <c r="G28" s="65"/>
      <c r="H28" s="66"/>
      <c r="I28" s="66"/>
      <c r="J28" s="67"/>
      <c r="K28" s="66"/>
      <c r="L28" s="66"/>
      <c r="M28" s="68"/>
      <c r="N28" s="87"/>
      <c r="O28" s="64"/>
      <c r="P28" s="63"/>
      <c r="Q28" s="63"/>
      <c r="R28" s="69"/>
    </row>
    <row r="29" spans="1:18" x14ac:dyDescent="0.25">
      <c r="A29" s="7" t="e">
        <f>VLOOKUP(B29,Plants!$A$2:$B$39,2,0)</f>
        <v>#N/A</v>
      </c>
      <c r="B29" s="63"/>
      <c r="C29" s="64"/>
      <c r="D29" s="63"/>
      <c r="E29" s="63"/>
      <c r="F29" s="63"/>
      <c r="G29" s="65"/>
      <c r="H29" s="66"/>
      <c r="I29" s="66"/>
      <c r="J29" s="67"/>
      <c r="K29" s="66"/>
      <c r="L29" s="66"/>
      <c r="M29" s="68"/>
      <c r="N29" s="87"/>
      <c r="O29" s="64"/>
      <c r="P29" s="63"/>
      <c r="Q29" s="63"/>
      <c r="R29" s="69"/>
    </row>
    <row r="30" spans="1:18" x14ac:dyDescent="0.25">
      <c r="A30" s="63" t="e">
        <f>VLOOKUP(B30,Plants!$A$2:$B$39,2,0)</f>
        <v>#N/A</v>
      </c>
      <c r="B30" s="63"/>
      <c r="C30" s="64"/>
      <c r="D30" s="63"/>
      <c r="E30" s="63"/>
      <c r="F30" s="63"/>
      <c r="G30" s="65"/>
      <c r="H30" s="66"/>
      <c r="I30" s="66"/>
      <c r="J30" s="67"/>
      <c r="K30" s="66"/>
      <c r="L30" s="66"/>
      <c r="M30" s="68"/>
      <c r="N30" s="87"/>
      <c r="O30" s="64"/>
      <c r="P30" s="63"/>
      <c r="Q30" s="63"/>
      <c r="R30" s="69"/>
    </row>
    <row r="31" spans="1:18" x14ac:dyDescent="0.25">
      <c r="A31" s="7" t="e">
        <f>VLOOKUP(B31,Plants!$A$2:$B$39,2,0)</f>
        <v>#N/A</v>
      </c>
      <c r="B31" s="63"/>
      <c r="C31" s="64"/>
      <c r="D31" s="63"/>
      <c r="E31" s="63"/>
      <c r="F31" s="63"/>
      <c r="G31" s="65"/>
      <c r="H31" s="66"/>
      <c r="I31" s="66"/>
      <c r="J31" s="67"/>
      <c r="K31" s="66"/>
      <c r="L31" s="66"/>
      <c r="M31" s="68"/>
      <c r="N31" s="87"/>
      <c r="O31" s="64"/>
      <c r="P31" s="63"/>
      <c r="Q31" s="63"/>
      <c r="R31" s="69"/>
    </row>
    <row r="32" spans="1:18" x14ac:dyDescent="0.25">
      <c r="A32" s="7" t="e">
        <f>VLOOKUP(B32,Plants!$A$2:$B$39,2,0)</f>
        <v>#N/A</v>
      </c>
      <c r="B32" s="63"/>
      <c r="C32" s="64"/>
      <c r="D32" s="63"/>
      <c r="E32" s="63"/>
      <c r="F32" s="63"/>
      <c r="G32" s="65"/>
      <c r="H32" s="66"/>
      <c r="I32" s="66"/>
      <c r="J32" s="67"/>
      <c r="K32" s="66"/>
      <c r="L32" s="66"/>
      <c r="M32" s="68"/>
      <c r="N32" s="87"/>
      <c r="O32" s="64"/>
      <c r="P32" s="63"/>
      <c r="Q32" s="63"/>
      <c r="R32" s="69"/>
    </row>
    <row r="33" spans="1:18" x14ac:dyDescent="0.25">
      <c r="A33" s="63" t="e">
        <f>VLOOKUP(B33,Plants!$A$2:$B$39,2,0)</f>
        <v>#N/A</v>
      </c>
      <c r="B33" s="63"/>
      <c r="C33" s="64"/>
      <c r="D33" s="63"/>
      <c r="E33" s="63"/>
      <c r="F33" s="63"/>
      <c r="G33" s="65"/>
      <c r="H33" s="66"/>
      <c r="I33" s="66"/>
      <c r="J33" s="67"/>
      <c r="K33" s="66"/>
      <c r="L33" s="66"/>
      <c r="M33" s="68"/>
      <c r="N33" s="87"/>
      <c r="O33" s="64"/>
      <c r="P33" s="63"/>
      <c r="Q33" s="63"/>
      <c r="R33" s="69"/>
    </row>
    <row r="34" spans="1:18" x14ac:dyDescent="0.25">
      <c r="A34" s="63" t="e">
        <f>VLOOKUP(B34,Plants!$A$2:$B$39,2,0)</f>
        <v>#N/A</v>
      </c>
      <c r="B34" s="63"/>
      <c r="C34" s="64"/>
      <c r="D34" s="63"/>
      <c r="E34" s="63"/>
      <c r="F34" s="63"/>
      <c r="G34" s="65"/>
      <c r="H34" s="66"/>
      <c r="I34" s="66"/>
      <c r="J34" s="67"/>
      <c r="K34" s="66"/>
      <c r="L34" s="66"/>
      <c r="M34" s="68"/>
      <c r="N34" s="87"/>
      <c r="O34" s="64"/>
      <c r="P34" s="63"/>
      <c r="Q34" s="63"/>
      <c r="R34" s="69"/>
    </row>
    <row r="35" spans="1:18" x14ac:dyDescent="0.25">
      <c r="A35" s="7" t="e">
        <f>VLOOKUP(B35,Plants!$A$2:$B$39,2,0)</f>
        <v>#N/A</v>
      </c>
      <c r="B35" s="63"/>
      <c r="C35" s="64"/>
      <c r="D35" s="63"/>
      <c r="E35" s="63"/>
      <c r="F35" s="63"/>
      <c r="G35" s="65"/>
      <c r="H35" s="66"/>
      <c r="I35" s="66"/>
      <c r="J35" s="67"/>
      <c r="K35" s="66"/>
      <c r="L35" s="66"/>
      <c r="M35" s="68"/>
      <c r="N35" s="87"/>
      <c r="O35" s="64"/>
      <c r="P35" s="63"/>
      <c r="Q35" s="63"/>
      <c r="R35" s="69"/>
    </row>
    <row r="36" spans="1:18" x14ac:dyDescent="0.25">
      <c r="A36" s="63" t="e">
        <f>VLOOKUP(B36,Plants!$A$2:$B$39,2,0)</f>
        <v>#N/A</v>
      </c>
      <c r="B36" s="63"/>
      <c r="C36" s="64"/>
      <c r="D36" s="63"/>
      <c r="E36" s="63"/>
      <c r="F36" s="63"/>
      <c r="G36" s="65"/>
      <c r="H36" s="66"/>
      <c r="I36" s="66"/>
      <c r="J36" s="67"/>
      <c r="K36" s="66"/>
      <c r="L36" s="66"/>
      <c r="M36" s="68"/>
      <c r="N36" s="87"/>
      <c r="O36" s="64"/>
      <c r="P36" s="63"/>
      <c r="Q36" s="63"/>
      <c r="R36" s="69"/>
    </row>
    <row r="37" spans="1:18" x14ac:dyDescent="0.25">
      <c r="A37" s="63" t="e">
        <f>VLOOKUP(B37,Plants!$A$2:$B$39,2,0)</f>
        <v>#N/A</v>
      </c>
      <c r="B37" s="63"/>
      <c r="C37" s="64"/>
      <c r="D37" s="63"/>
      <c r="E37" s="63"/>
      <c r="F37" s="63"/>
      <c r="G37" s="65"/>
      <c r="H37" s="66"/>
      <c r="I37" s="66"/>
      <c r="J37" s="67"/>
      <c r="K37" s="66"/>
      <c r="L37" s="66"/>
      <c r="M37" s="68"/>
      <c r="N37" s="87"/>
      <c r="O37" s="64"/>
      <c r="P37" s="63"/>
      <c r="Q37" s="63"/>
      <c r="R37" s="69"/>
    </row>
    <row r="38" spans="1:18" x14ac:dyDescent="0.25">
      <c r="A38" s="63" t="e">
        <f>VLOOKUP(B38,Plants!$A$2:$B$39,2,0)</f>
        <v>#N/A</v>
      </c>
      <c r="B38" s="63"/>
      <c r="C38" s="64"/>
      <c r="D38" s="63"/>
      <c r="E38" s="63"/>
      <c r="F38" s="63"/>
      <c r="G38" s="65"/>
      <c r="H38" s="66"/>
      <c r="I38" s="66"/>
      <c r="J38" s="67"/>
      <c r="K38" s="66"/>
      <c r="L38" s="66"/>
      <c r="M38" s="68"/>
      <c r="N38" s="87"/>
      <c r="O38" s="64"/>
      <c r="P38" s="63"/>
      <c r="Q38" s="63"/>
      <c r="R38" s="69"/>
    </row>
    <row r="39" spans="1:18" x14ac:dyDescent="0.25">
      <c r="A39" s="7" t="e">
        <f>VLOOKUP(B39,Plants!$A$2:$B$39,2,0)</f>
        <v>#N/A</v>
      </c>
      <c r="B39" s="63"/>
      <c r="C39" s="64"/>
      <c r="D39" s="63"/>
      <c r="E39" s="63"/>
      <c r="F39" s="63"/>
      <c r="G39" s="65"/>
      <c r="H39" s="66"/>
      <c r="I39" s="66"/>
      <c r="J39" s="67"/>
      <c r="K39" s="66"/>
      <c r="L39" s="66"/>
      <c r="M39" s="68"/>
      <c r="N39" s="87"/>
      <c r="O39" s="64"/>
      <c r="P39" s="63"/>
      <c r="Q39" s="63"/>
      <c r="R39" s="69"/>
    </row>
    <row r="40" spans="1:18" x14ac:dyDescent="0.25">
      <c r="A40" s="63" t="e">
        <f>VLOOKUP(B40,Plants!$A$2:$B$39,2,0)</f>
        <v>#N/A</v>
      </c>
      <c r="B40" s="63"/>
      <c r="C40" s="64"/>
      <c r="D40" s="63"/>
      <c r="E40" s="63"/>
      <c r="F40" s="63"/>
      <c r="G40" s="65"/>
      <c r="H40" s="66"/>
      <c r="I40" s="66"/>
      <c r="J40" s="67"/>
      <c r="K40" s="66"/>
      <c r="L40" s="66"/>
      <c r="M40" s="68"/>
      <c r="N40" s="87"/>
      <c r="O40" s="64"/>
      <c r="P40" s="63"/>
      <c r="Q40" s="63"/>
      <c r="R40" s="69"/>
    </row>
    <row r="41" spans="1:18" x14ac:dyDescent="0.25">
      <c r="A41" s="63" t="e">
        <f>VLOOKUP(B41,Plants!$A$2:$B$39,2,0)</f>
        <v>#N/A</v>
      </c>
      <c r="B41" s="63"/>
      <c r="C41" s="64"/>
      <c r="D41" s="63"/>
      <c r="E41" s="63"/>
      <c r="F41" s="63"/>
      <c r="G41" s="65"/>
      <c r="H41" s="66"/>
      <c r="I41" s="66"/>
      <c r="J41" s="67"/>
      <c r="K41" s="66"/>
      <c r="L41" s="66"/>
      <c r="M41" s="68"/>
      <c r="N41" s="87"/>
      <c r="O41" s="64"/>
      <c r="P41" s="63"/>
      <c r="Q41" s="63"/>
      <c r="R41" s="69"/>
    </row>
    <row r="42" spans="1:18" x14ac:dyDescent="0.25">
      <c r="A42" s="63" t="e">
        <f>VLOOKUP(B42,Plants!$A$2:$B$39,2,0)</f>
        <v>#N/A</v>
      </c>
      <c r="B42" s="63"/>
      <c r="C42" s="64"/>
      <c r="D42" s="63"/>
      <c r="E42" s="63"/>
      <c r="F42" s="63"/>
      <c r="G42" s="65"/>
      <c r="H42" s="66"/>
      <c r="I42" s="66"/>
      <c r="J42" s="67"/>
      <c r="K42" s="66"/>
      <c r="L42" s="66"/>
      <c r="M42" s="68"/>
      <c r="N42" s="87"/>
      <c r="O42" s="64"/>
      <c r="P42" s="63"/>
      <c r="Q42" s="63"/>
      <c r="R42" s="69"/>
    </row>
    <row r="43" spans="1:18" x14ac:dyDescent="0.25">
      <c r="A43" s="63" t="e">
        <f>VLOOKUP(B43,Plants!$A$2:$B$39,2,0)</f>
        <v>#N/A</v>
      </c>
      <c r="B43" s="63"/>
      <c r="C43" s="64"/>
      <c r="D43" s="63"/>
      <c r="E43" s="63"/>
      <c r="F43" s="63"/>
      <c r="G43" s="65"/>
      <c r="H43" s="66"/>
      <c r="I43" s="66"/>
      <c r="J43" s="67"/>
      <c r="K43" s="66"/>
      <c r="L43" s="66"/>
      <c r="M43" s="68"/>
      <c r="N43" s="87"/>
      <c r="O43" s="64"/>
      <c r="P43" s="63"/>
      <c r="Q43" s="63"/>
      <c r="R43" s="69"/>
    </row>
    <row r="44" spans="1:18" x14ac:dyDescent="0.25">
      <c r="A44" s="63" t="e">
        <f>VLOOKUP(B44,Plants!$A$2:$B$39,2,0)</f>
        <v>#N/A</v>
      </c>
      <c r="B44" s="63"/>
      <c r="C44" s="64"/>
      <c r="D44" s="63"/>
      <c r="E44" s="63"/>
      <c r="F44" s="63"/>
      <c r="G44" s="65"/>
      <c r="H44" s="66"/>
      <c r="I44" s="66"/>
      <c r="J44" s="67"/>
      <c r="K44" s="66"/>
      <c r="L44" s="66"/>
      <c r="M44" s="68"/>
      <c r="N44" s="87"/>
      <c r="O44" s="64"/>
      <c r="P44" s="63"/>
      <c r="Q44" s="63"/>
      <c r="R44" s="69"/>
    </row>
    <row r="45" spans="1:18" x14ac:dyDescent="0.25">
      <c r="A45" s="63" t="e">
        <f>VLOOKUP(B45,Plants!$A$2:$B$39,2,0)</f>
        <v>#N/A</v>
      </c>
      <c r="B45" s="63"/>
      <c r="C45" s="64"/>
      <c r="D45" s="63"/>
      <c r="E45" s="63"/>
      <c r="F45" s="63"/>
      <c r="G45" s="65"/>
      <c r="H45" s="66"/>
      <c r="I45" s="66"/>
      <c r="J45" s="67"/>
      <c r="K45" s="66"/>
      <c r="L45" s="66"/>
      <c r="M45" s="68"/>
      <c r="N45" s="87"/>
      <c r="O45" s="64"/>
      <c r="P45" s="63"/>
      <c r="Q45" s="63"/>
      <c r="R45" s="69"/>
    </row>
    <row r="46" spans="1:18" x14ac:dyDescent="0.25">
      <c r="A46" s="63" t="e">
        <f>VLOOKUP(B46,Plants!$A$2:$B$39,2,0)</f>
        <v>#N/A</v>
      </c>
      <c r="B46" s="63"/>
      <c r="C46" s="64"/>
      <c r="D46" s="63"/>
      <c r="E46" s="63"/>
      <c r="F46" s="63"/>
      <c r="G46" s="65"/>
      <c r="H46" s="66"/>
      <c r="I46" s="66"/>
      <c r="J46" s="67"/>
      <c r="K46" s="66"/>
      <c r="L46" s="66"/>
      <c r="M46" s="68"/>
      <c r="N46" s="87"/>
      <c r="O46" s="64"/>
      <c r="P46" s="63"/>
      <c r="Q46" s="63"/>
      <c r="R46" s="69"/>
    </row>
    <row r="47" spans="1:18" x14ac:dyDescent="0.25">
      <c r="A47" s="63" t="e">
        <f>VLOOKUP(B47,Plants!$A$2:$B$39,2,0)</f>
        <v>#N/A</v>
      </c>
      <c r="B47" s="63"/>
      <c r="C47" s="64"/>
      <c r="D47" s="63"/>
      <c r="E47" s="63"/>
      <c r="F47" s="63"/>
      <c r="G47" s="65"/>
      <c r="H47" s="66"/>
      <c r="I47" s="66"/>
      <c r="J47" s="67"/>
      <c r="K47" s="66"/>
      <c r="L47" s="66"/>
      <c r="M47" s="68"/>
      <c r="N47" s="87"/>
      <c r="O47" s="64"/>
      <c r="P47" s="63"/>
      <c r="Q47" s="63"/>
      <c r="R47" s="69"/>
    </row>
    <row r="48" spans="1:18" x14ac:dyDescent="0.25">
      <c r="A48" s="63" t="e">
        <f>VLOOKUP(B48,Plants!$A$2:$B$39,2,0)</f>
        <v>#N/A</v>
      </c>
      <c r="B48" s="63"/>
      <c r="C48" s="64"/>
      <c r="D48" s="63"/>
      <c r="E48" s="63"/>
      <c r="F48" s="63"/>
      <c r="G48" s="65"/>
      <c r="H48" s="66"/>
      <c r="I48" s="66"/>
      <c r="J48" s="67"/>
      <c r="K48" s="66"/>
      <c r="L48" s="66"/>
      <c r="M48" s="68"/>
      <c r="N48" s="87"/>
      <c r="O48" s="64"/>
      <c r="P48" s="63"/>
      <c r="Q48" s="63"/>
      <c r="R48" s="69"/>
    </row>
    <row r="49" spans="1:18" x14ac:dyDescent="0.25">
      <c r="A49" s="63" t="e">
        <f>VLOOKUP(B49,Plants!$A$2:$B$39,2,0)</f>
        <v>#N/A</v>
      </c>
      <c r="B49" s="63"/>
      <c r="C49" s="64"/>
      <c r="D49" s="63"/>
      <c r="E49" s="63"/>
      <c r="F49" s="63"/>
      <c r="G49" s="65"/>
      <c r="H49" s="66"/>
      <c r="I49" s="66"/>
      <c r="J49" s="67"/>
      <c r="K49" s="66"/>
      <c r="L49" s="66"/>
      <c r="M49" s="68"/>
      <c r="N49" s="87"/>
      <c r="O49" s="64"/>
      <c r="P49" s="63"/>
      <c r="Q49" s="63"/>
      <c r="R49" s="69"/>
    </row>
    <row r="50" spans="1:18" x14ac:dyDescent="0.25">
      <c r="A50" s="63" t="e">
        <f>VLOOKUP(B50,Plants!$A$2:$B$39,2,0)</f>
        <v>#N/A</v>
      </c>
      <c r="B50" s="63"/>
      <c r="C50" s="64"/>
      <c r="D50" s="63"/>
      <c r="E50" s="63"/>
      <c r="F50" s="63"/>
      <c r="G50" s="65"/>
      <c r="H50" s="66"/>
      <c r="I50" s="66"/>
      <c r="J50" s="67"/>
      <c r="K50" s="66"/>
      <c r="L50" s="66"/>
      <c r="M50" s="68"/>
      <c r="N50" s="87"/>
      <c r="O50" s="64"/>
      <c r="P50" s="63"/>
      <c r="Q50" s="63"/>
      <c r="R50" s="69"/>
    </row>
    <row r="51" spans="1:18" x14ac:dyDescent="0.25">
      <c r="A51" s="63" t="e">
        <f>VLOOKUP(B51,Plants!$A$2:$B$39,2,0)</f>
        <v>#N/A</v>
      </c>
      <c r="B51" s="63"/>
      <c r="C51" s="64"/>
      <c r="D51" s="63"/>
      <c r="E51" s="63"/>
      <c r="F51" s="63"/>
      <c r="G51" s="65"/>
      <c r="H51" s="66"/>
      <c r="I51" s="66"/>
      <c r="J51" s="67"/>
      <c r="K51" s="66"/>
      <c r="L51" s="66"/>
      <c r="M51" s="68"/>
      <c r="N51" s="87"/>
      <c r="O51" s="64"/>
      <c r="P51" s="63"/>
      <c r="Q51" s="63"/>
      <c r="R51" s="69"/>
    </row>
    <row r="52" spans="1:18" x14ac:dyDescent="0.25">
      <c r="A52" s="63" t="e">
        <f>VLOOKUP(B52,Plants!$A$2:$B$39,2,0)</f>
        <v>#N/A</v>
      </c>
      <c r="B52" s="63"/>
      <c r="C52" s="64"/>
      <c r="D52" s="63"/>
      <c r="E52" s="63"/>
      <c r="F52" s="63"/>
      <c r="G52" s="65"/>
      <c r="H52" s="66"/>
      <c r="I52" s="66"/>
      <c r="J52" s="67"/>
      <c r="K52" s="66"/>
      <c r="L52" s="66"/>
      <c r="M52" s="68"/>
      <c r="N52" s="87"/>
      <c r="O52" s="64"/>
      <c r="P52" s="63"/>
      <c r="Q52" s="63"/>
      <c r="R52" s="69"/>
    </row>
    <row r="53" spans="1:18" x14ac:dyDescent="0.25">
      <c r="A53" s="63" t="e">
        <f>VLOOKUP(B53,Plants!$A$2:$B$39,2,0)</f>
        <v>#N/A</v>
      </c>
      <c r="B53" s="63"/>
      <c r="C53" s="64"/>
      <c r="D53" s="63"/>
      <c r="E53" s="63"/>
      <c r="F53" s="63"/>
      <c r="G53" s="65"/>
      <c r="H53" s="66"/>
      <c r="I53" s="66"/>
      <c r="J53" s="67"/>
      <c r="K53" s="66"/>
      <c r="L53" s="66"/>
      <c r="M53" s="68"/>
      <c r="N53" s="87"/>
      <c r="O53" s="64"/>
      <c r="P53" s="63"/>
      <c r="Q53" s="63"/>
      <c r="R53" s="69"/>
    </row>
    <row r="54" spans="1:18" x14ac:dyDescent="0.25">
      <c r="A54" s="63" t="e">
        <f>VLOOKUP(B54,Plants!$A$2:$B$39,2,0)</f>
        <v>#N/A</v>
      </c>
      <c r="B54" s="63"/>
      <c r="C54" s="64"/>
      <c r="D54" s="63"/>
      <c r="E54" s="63"/>
      <c r="F54" s="63"/>
      <c r="G54" s="65"/>
      <c r="H54" s="66"/>
      <c r="I54" s="66"/>
      <c r="J54" s="67"/>
      <c r="K54" s="66"/>
      <c r="L54" s="66"/>
      <c r="M54" s="68"/>
      <c r="N54" s="87"/>
      <c r="O54" s="64"/>
      <c r="P54" s="63"/>
      <c r="Q54" s="63"/>
      <c r="R54" s="69"/>
    </row>
    <row r="55" spans="1:18" x14ac:dyDescent="0.25">
      <c r="A55" s="63" t="e">
        <f>VLOOKUP(B55,Plants!$A$2:$B$39,2,0)</f>
        <v>#N/A</v>
      </c>
      <c r="B55" s="63"/>
      <c r="C55" s="64"/>
      <c r="D55" s="63"/>
      <c r="E55" s="63"/>
      <c r="F55" s="63"/>
      <c r="G55" s="65"/>
      <c r="H55" s="66"/>
      <c r="I55" s="66"/>
      <c r="J55" s="67"/>
      <c r="K55" s="66"/>
      <c r="L55" s="66"/>
      <c r="M55" s="68"/>
      <c r="N55" s="87"/>
      <c r="O55" s="64"/>
      <c r="P55" s="63"/>
      <c r="Q55" s="63"/>
      <c r="R55" s="69"/>
    </row>
    <row r="56" spans="1:18" x14ac:dyDescent="0.25">
      <c r="A56" s="63" t="e">
        <f>VLOOKUP(B56,Plants!$A$2:$B$39,2,0)</f>
        <v>#N/A</v>
      </c>
      <c r="B56" s="63"/>
      <c r="C56" s="64"/>
      <c r="D56" s="63"/>
      <c r="E56" s="63"/>
      <c r="F56" s="63"/>
      <c r="G56" s="65"/>
      <c r="H56" s="66"/>
      <c r="I56" s="66"/>
      <c r="J56" s="67"/>
      <c r="K56" s="66"/>
      <c r="L56" s="66"/>
      <c r="M56" s="68"/>
      <c r="N56" s="87"/>
      <c r="O56" s="64"/>
      <c r="P56" s="63"/>
      <c r="Q56" s="63"/>
      <c r="R56" s="69"/>
    </row>
    <row r="57" spans="1:18" x14ac:dyDescent="0.25">
      <c r="A57" s="63" t="e">
        <f>VLOOKUP(B57,Plants!$A$2:$B$39,2,0)</f>
        <v>#N/A</v>
      </c>
      <c r="B57" s="63"/>
      <c r="C57" s="64"/>
      <c r="D57" s="63"/>
      <c r="E57" s="63"/>
      <c r="F57" s="63"/>
      <c r="G57" s="65"/>
      <c r="H57" s="66"/>
      <c r="I57" s="66"/>
      <c r="J57" s="67"/>
      <c r="K57" s="66"/>
      <c r="L57" s="66"/>
      <c r="M57" s="68"/>
      <c r="N57" s="87"/>
      <c r="O57" s="64"/>
      <c r="P57" s="63"/>
      <c r="Q57" s="63"/>
      <c r="R57" s="69"/>
    </row>
    <row r="58" spans="1:18" x14ac:dyDescent="0.25">
      <c r="A58" s="63" t="e">
        <f>VLOOKUP(B58,Plants!$A$2:$B$39,2,0)</f>
        <v>#N/A</v>
      </c>
      <c r="B58" s="63"/>
      <c r="C58" s="64"/>
      <c r="D58" s="63"/>
      <c r="E58" s="63"/>
      <c r="F58" s="63"/>
      <c r="G58" s="65"/>
      <c r="H58" s="66"/>
      <c r="I58" s="66"/>
      <c r="J58" s="67"/>
      <c r="K58" s="66"/>
      <c r="L58" s="66"/>
      <c r="M58" s="68"/>
      <c r="N58" s="87"/>
      <c r="O58" s="64"/>
      <c r="P58" s="63"/>
      <c r="Q58" s="63"/>
      <c r="R58" s="69"/>
    </row>
    <row r="59" spans="1:18" x14ac:dyDescent="0.25">
      <c r="A59" s="63" t="e">
        <f>VLOOKUP(B59,Plants!$A$2:$B$39,2,0)</f>
        <v>#N/A</v>
      </c>
      <c r="B59" s="63"/>
      <c r="C59" s="64"/>
      <c r="D59" s="63"/>
      <c r="E59" s="63"/>
      <c r="F59" s="63"/>
      <c r="G59" s="65"/>
      <c r="H59" s="66"/>
      <c r="I59" s="66"/>
      <c r="J59" s="67"/>
      <c r="K59" s="66"/>
      <c r="L59" s="66"/>
      <c r="M59" s="68"/>
      <c r="N59" s="87"/>
      <c r="O59" s="64"/>
      <c r="P59" s="63"/>
      <c r="Q59" s="63"/>
      <c r="R59" s="69"/>
    </row>
    <row r="60" spans="1:18" x14ac:dyDescent="0.25">
      <c r="A60" s="63" t="e">
        <f>VLOOKUP(B60,Plants!$A$2:$B$39,2,0)</f>
        <v>#N/A</v>
      </c>
      <c r="B60" s="63"/>
      <c r="C60" s="64"/>
      <c r="D60" s="63"/>
      <c r="E60" s="63"/>
      <c r="F60" s="63"/>
      <c r="G60" s="65"/>
      <c r="H60" s="66"/>
      <c r="I60" s="66"/>
      <c r="J60" s="67"/>
      <c r="K60" s="66"/>
      <c r="L60" s="66"/>
      <c r="M60" s="68"/>
      <c r="N60" s="87"/>
      <c r="O60" s="64"/>
      <c r="P60" s="63"/>
      <c r="Q60" s="63"/>
      <c r="R60" s="69"/>
    </row>
    <row r="61" spans="1:18" x14ac:dyDescent="0.25">
      <c r="A61" s="63" t="e">
        <f>VLOOKUP(B61,Plants!$A$2:$B$39,2,0)</f>
        <v>#N/A</v>
      </c>
      <c r="B61" s="63"/>
      <c r="C61" s="64"/>
      <c r="D61" s="63"/>
      <c r="E61" s="63"/>
      <c r="F61" s="63"/>
      <c r="G61" s="65"/>
      <c r="H61" s="66"/>
      <c r="I61" s="66"/>
      <c r="J61" s="67"/>
      <c r="K61" s="66"/>
      <c r="L61" s="66"/>
      <c r="M61" s="68"/>
      <c r="N61" s="87"/>
      <c r="O61" s="64"/>
      <c r="P61" s="63"/>
      <c r="Q61" s="63"/>
      <c r="R61" s="69"/>
    </row>
    <row r="62" spans="1:18" x14ac:dyDescent="0.25">
      <c r="A62" s="63" t="e">
        <f>VLOOKUP(B62,Plants!$A$2:$B$39,2,0)</f>
        <v>#N/A</v>
      </c>
      <c r="B62" s="63"/>
      <c r="C62" s="64"/>
      <c r="D62" s="63"/>
      <c r="E62" s="63"/>
      <c r="F62" s="63"/>
      <c r="G62" s="65"/>
      <c r="H62" s="66"/>
      <c r="I62" s="66"/>
      <c r="J62" s="67"/>
      <c r="K62" s="66"/>
      <c r="L62" s="66"/>
      <c r="M62" s="68"/>
      <c r="N62" s="87"/>
      <c r="O62" s="64"/>
      <c r="P62" s="63"/>
      <c r="Q62" s="63"/>
      <c r="R62" s="69"/>
    </row>
    <row r="63" spans="1:18" x14ac:dyDescent="0.25">
      <c r="A63" s="63" t="e">
        <f>VLOOKUP(B63,Plants!$A$2:$B$39,2,0)</f>
        <v>#N/A</v>
      </c>
      <c r="B63" s="63"/>
      <c r="C63" s="64"/>
      <c r="D63" s="63"/>
      <c r="E63" s="63"/>
      <c r="F63" s="63"/>
      <c r="G63" s="65"/>
      <c r="H63" s="66"/>
      <c r="I63" s="66"/>
      <c r="J63" s="67"/>
      <c r="K63" s="66"/>
      <c r="L63" s="66"/>
      <c r="M63" s="68"/>
      <c r="N63" s="87"/>
      <c r="O63" s="64"/>
      <c r="P63" s="63"/>
      <c r="Q63" s="63"/>
      <c r="R63" s="69"/>
    </row>
    <row r="64" spans="1:18" x14ac:dyDescent="0.25">
      <c r="A64" s="63" t="e">
        <f>VLOOKUP(B64,Plants!$A$2:$B$39,2,0)</f>
        <v>#N/A</v>
      </c>
      <c r="B64" s="63"/>
      <c r="C64" s="64"/>
      <c r="D64" s="63"/>
      <c r="E64" s="63"/>
      <c r="F64" s="63"/>
      <c r="G64" s="65"/>
      <c r="H64" s="66"/>
      <c r="I64" s="66"/>
      <c r="J64" s="67"/>
      <c r="K64" s="66"/>
      <c r="L64" s="66"/>
      <c r="M64" s="68"/>
      <c r="N64" s="87"/>
      <c r="O64" s="64"/>
      <c r="P64" s="63"/>
      <c r="Q64" s="63"/>
      <c r="R64" s="69"/>
    </row>
    <row r="65" spans="1:18" x14ac:dyDescent="0.25">
      <c r="A65" s="63" t="e">
        <f>VLOOKUP(B65,Plants!$A$2:$B$39,2,0)</f>
        <v>#N/A</v>
      </c>
      <c r="B65" s="63"/>
      <c r="C65" s="64"/>
      <c r="D65" s="63"/>
      <c r="E65" s="63"/>
      <c r="F65" s="63"/>
      <c r="G65" s="65"/>
      <c r="H65" s="66"/>
      <c r="I65" s="66"/>
      <c r="J65" s="67"/>
      <c r="K65" s="66"/>
      <c r="L65" s="66"/>
      <c r="M65" s="68"/>
      <c r="N65" s="87"/>
      <c r="O65" s="64"/>
      <c r="P65" s="63"/>
      <c r="Q65" s="63"/>
      <c r="R65" s="69"/>
    </row>
    <row r="66" spans="1:18" x14ac:dyDescent="0.25">
      <c r="A66" s="63" t="e">
        <f>VLOOKUP(B66,Plants!$A$2:$B$39,2,0)</f>
        <v>#N/A</v>
      </c>
      <c r="B66" s="63"/>
      <c r="C66" s="64"/>
      <c r="D66" s="63"/>
      <c r="E66" s="63"/>
      <c r="F66" s="63"/>
      <c r="G66" s="65"/>
      <c r="H66" s="66"/>
      <c r="I66" s="66"/>
      <c r="J66" s="67"/>
      <c r="K66" s="66"/>
      <c r="L66" s="66"/>
      <c r="M66" s="68"/>
      <c r="N66" s="87"/>
      <c r="O66" s="64"/>
      <c r="P66" s="63"/>
      <c r="Q66" s="63"/>
      <c r="R66" s="69"/>
    </row>
    <row r="67" spans="1:18" x14ac:dyDescent="0.25">
      <c r="A67" s="63" t="e">
        <f>VLOOKUP(B67,Plants!$A$2:$B$39,2,0)</f>
        <v>#N/A</v>
      </c>
      <c r="B67" s="63"/>
      <c r="C67" s="64"/>
      <c r="D67" s="63"/>
      <c r="E67" s="63"/>
      <c r="F67" s="63"/>
      <c r="G67" s="65"/>
      <c r="H67" s="66"/>
      <c r="I67" s="66"/>
      <c r="J67" s="67"/>
      <c r="K67" s="66"/>
      <c r="L67" s="66"/>
      <c r="M67" s="68"/>
      <c r="N67" s="87"/>
      <c r="O67" s="64"/>
      <c r="P67" s="63"/>
      <c r="Q67" s="63"/>
      <c r="R67" s="69"/>
    </row>
    <row r="68" spans="1:18" x14ac:dyDescent="0.25">
      <c r="A68" s="63" t="e">
        <f>VLOOKUP(B68,Plants!$A$2:$B$39,2,0)</f>
        <v>#N/A</v>
      </c>
      <c r="B68" s="63"/>
      <c r="C68" s="64"/>
      <c r="D68" s="63"/>
      <c r="E68" s="63"/>
      <c r="F68" s="63"/>
      <c r="G68" s="65"/>
      <c r="H68" s="66"/>
      <c r="I68" s="66"/>
      <c r="J68" s="67"/>
      <c r="K68" s="66"/>
      <c r="L68" s="66"/>
      <c r="M68" s="68"/>
      <c r="N68" s="87"/>
      <c r="O68" s="64"/>
      <c r="P68" s="63"/>
      <c r="Q68" s="63"/>
      <c r="R68" s="69"/>
    </row>
    <row r="69" spans="1:18" x14ac:dyDescent="0.25">
      <c r="A69" s="63" t="e">
        <f>VLOOKUP(B69,Plants!$A$2:$B$39,2,0)</f>
        <v>#N/A</v>
      </c>
      <c r="B69" s="63"/>
      <c r="C69" s="64"/>
      <c r="D69" s="63"/>
      <c r="E69" s="63"/>
      <c r="F69" s="63"/>
      <c r="G69" s="65"/>
      <c r="H69" s="66"/>
      <c r="I69" s="66"/>
      <c r="J69" s="67"/>
      <c r="K69" s="66"/>
      <c r="L69" s="66"/>
      <c r="M69" s="68"/>
      <c r="N69" s="87"/>
      <c r="O69" s="64"/>
      <c r="P69" s="63"/>
      <c r="Q69" s="63"/>
      <c r="R69" s="69"/>
    </row>
    <row r="70" spans="1:18" x14ac:dyDescent="0.25">
      <c r="A70" s="63" t="e">
        <f>VLOOKUP(B70,Plants!$A$2:$B$39,2,0)</f>
        <v>#N/A</v>
      </c>
      <c r="B70" s="63"/>
      <c r="C70" s="64"/>
      <c r="D70" s="63"/>
      <c r="E70" s="63"/>
      <c r="F70" s="63"/>
      <c r="G70" s="65"/>
      <c r="H70" s="66"/>
      <c r="I70" s="66"/>
      <c r="J70" s="67"/>
      <c r="K70" s="66"/>
      <c r="L70" s="66"/>
      <c r="M70" s="68"/>
      <c r="N70" s="87"/>
      <c r="O70" s="64"/>
      <c r="P70" s="63"/>
      <c r="Q70" s="63"/>
      <c r="R70" s="69"/>
    </row>
    <row r="71" spans="1:18" x14ac:dyDescent="0.25">
      <c r="A71" s="63" t="e">
        <f>VLOOKUP(B71,Plants!$A$2:$B$39,2,0)</f>
        <v>#N/A</v>
      </c>
      <c r="B71" s="63"/>
      <c r="C71" s="64"/>
      <c r="D71" s="63"/>
      <c r="E71" s="63"/>
      <c r="F71" s="63"/>
      <c r="G71" s="65"/>
      <c r="H71" s="66"/>
      <c r="I71" s="66"/>
      <c r="J71" s="67"/>
      <c r="K71" s="66"/>
      <c r="L71" s="66"/>
      <c r="M71" s="68"/>
      <c r="N71" s="87"/>
      <c r="O71" s="64"/>
      <c r="P71" s="63"/>
      <c r="Q71" s="63"/>
      <c r="R71" s="69"/>
    </row>
    <row r="72" spans="1:18" x14ac:dyDescent="0.25">
      <c r="A72" s="63" t="e">
        <f>VLOOKUP(B72,Plants!$A$2:$B$39,2,0)</f>
        <v>#N/A</v>
      </c>
      <c r="B72" s="63"/>
      <c r="C72" s="64"/>
      <c r="D72" s="63"/>
      <c r="E72" s="63"/>
      <c r="F72" s="63"/>
      <c r="G72" s="65"/>
      <c r="H72" s="66"/>
      <c r="I72" s="66"/>
      <c r="J72" s="67"/>
      <c r="K72" s="66"/>
      <c r="L72" s="66"/>
      <c r="M72" s="68"/>
      <c r="N72" s="87"/>
      <c r="O72" s="64"/>
      <c r="P72" s="63"/>
      <c r="Q72" s="63"/>
      <c r="R72" s="69"/>
    </row>
    <row r="73" spans="1:18" x14ac:dyDescent="0.25">
      <c r="A73" s="63" t="e">
        <f>VLOOKUP(B73,Plants!$A$2:$B$39,2,0)</f>
        <v>#N/A</v>
      </c>
      <c r="B73" s="63"/>
      <c r="C73" s="64"/>
      <c r="D73" s="63"/>
      <c r="E73" s="63"/>
      <c r="F73" s="63"/>
      <c r="G73" s="65"/>
      <c r="H73" s="66"/>
      <c r="I73" s="66"/>
      <c r="J73" s="67"/>
      <c r="K73" s="66"/>
      <c r="L73" s="66"/>
      <c r="M73" s="68"/>
      <c r="N73" s="87"/>
      <c r="O73" s="64"/>
      <c r="P73" s="63"/>
      <c r="Q73" s="63"/>
      <c r="R73" s="69"/>
    </row>
    <row r="74" spans="1:18" x14ac:dyDescent="0.25">
      <c r="A74" s="63" t="e">
        <f>VLOOKUP(B74,Plants!$A$2:$B$39,2,0)</f>
        <v>#N/A</v>
      </c>
      <c r="B74" s="63"/>
      <c r="C74" s="64"/>
      <c r="D74" s="63"/>
      <c r="E74" s="63"/>
      <c r="F74" s="63"/>
      <c r="G74" s="65"/>
      <c r="H74" s="66"/>
      <c r="I74" s="66"/>
      <c r="J74" s="67"/>
      <c r="K74" s="66"/>
      <c r="L74" s="66"/>
      <c r="M74" s="68"/>
      <c r="N74" s="87"/>
      <c r="O74" s="64"/>
      <c r="P74" s="63"/>
      <c r="Q74" s="63"/>
      <c r="R74" s="69"/>
    </row>
    <row r="75" spans="1:18" x14ac:dyDescent="0.25">
      <c r="A75" s="63" t="e">
        <f>VLOOKUP(B75,Plants!$A$2:$B$39,2,0)</f>
        <v>#N/A</v>
      </c>
      <c r="B75" s="63"/>
      <c r="C75" s="64"/>
      <c r="D75" s="63"/>
      <c r="E75" s="63"/>
      <c r="F75" s="63"/>
      <c r="G75" s="65"/>
      <c r="H75" s="66"/>
      <c r="I75" s="66"/>
      <c r="J75" s="67"/>
      <c r="K75" s="66"/>
      <c r="L75" s="66"/>
      <c r="M75" s="68"/>
      <c r="N75" s="87"/>
      <c r="O75" s="64"/>
      <c r="P75" s="63"/>
      <c r="Q75" s="63"/>
      <c r="R75" s="69"/>
    </row>
    <row r="76" spans="1:18" x14ac:dyDescent="0.25">
      <c r="A76" s="63" t="e">
        <f>VLOOKUP(B76,Plants!$A$2:$B$39,2,0)</f>
        <v>#N/A</v>
      </c>
      <c r="B76" s="63"/>
      <c r="C76" s="64"/>
      <c r="D76" s="63"/>
      <c r="E76" s="63"/>
      <c r="F76" s="63"/>
      <c r="G76" s="65"/>
      <c r="H76" s="66"/>
      <c r="I76" s="66"/>
      <c r="J76" s="67"/>
      <c r="K76" s="66"/>
      <c r="L76" s="66"/>
      <c r="M76" s="68"/>
      <c r="N76" s="87"/>
      <c r="O76" s="64"/>
      <c r="P76" s="63"/>
      <c r="Q76" s="63"/>
      <c r="R76" s="69"/>
    </row>
    <row r="77" spans="1:18" x14ac:dyDescent="0.25">
      <c r="A77" s="63" t="e">
        <f>VLOOKUP(B77,Plants!$A$2:$B$39,2,0)</f>
        <v>#N/A</v>
      </c>
      <c r="B77" s="63"/>
      <c r="C77" s="64"/>
      <c r="D77" s="63"/>
      <c r="E77" s="63"/>
      <c r="F77" s="63"/>
      <c r="G77" s="65"/>
      <c r="H77" s="66"/>
      <c r="I77" s="66"/>
      <c r="J77" s="67"/>
      <c r="K77" s="66"/>
      <c r="L77" s="66"/>
      <c r="M77" s="68"/>
      <c r="N77" s="87"/>
      <c r="O77" s="64"/>
      <c r="P77" s="63"/>
      <c r="Q77" s="63"/>
      <c r="R77" s="69"/>
    </row>
    <row r="78" spans="1:18" x14ac:dyDescent="0.25">
      <c r="A78" s="63" t="e">
        <f>VLOOKUP(B78,Plants!$A$2:$B$39,2,0)</f>
        <v>#N/A</v>
      </c>
      <c r="B78" s="63"/>
      <c r="C78" s="64"/>
      <c r="D78" s="63"/>
      <c r="E78" s="63"/>
      <c r="F78" s="63"/>
      <c r="G78" s="65"/>
      <c r="H78" s="66"/>
      <c r="I78" s="66"/>
      <c r="J78" s="67"/>
      <c r="K78" s="66"/>
      <c r="L78" s="66"/>
      <c r="M78" s="68"/>
      <c r="N78" s="87"/>
      <c r="O78" s="64"/>
      <c r="P78" s="63"/>
      <c r="Q78" s="63"/>
      <c r="R78" s="69"/>
    </row>
    <row r="79" spans="1:18" x14ac:dyDescent="0.25">
      <c r="A79" s="63" t="e">
        <f>VLOOKUP(B79,Plants!$A$2:$B$39,2,0)</f>
        <v>#N/A</v>
      </c>
      <c r="B79" s="63"/>
      <c r="C79" s="64"/>
      <c r="D79" s="63"/>
      <c r="E79" s="63"/>
      <c r="F79" s="63"/>
      <c r="G79" s="65"/>
      <c r="H79" s="66"/>
      <c r="I79" s="66"/>
      <c r="J79" s="67"/>
      <c r="K79" s="66"/>
      <c r="L79" s="66"/>
      <c r="M79" s="68"/>
      <c r="N79" s="87"/>
      <c r="O79" s="64"/>
      <c r="P79" s="63"/>
      <c r="Q79" s="63"/>
      <c r="R79" s="69"/>
    </row>
    <row r="80" spans="1:18" x14ac:dyDescent="0.25">
      <c r="A80" s="63" t="e">
        <f>VLOOKUP(B80,Plants!$A$2:$B$39,2,0)</f>
        <v>#N/A</v>
      </c>
      <c r="B80" s="63"/>
      <c r="C80" s="64"/>
      <c r="D80" s="63"/>
      <c r="E80" s="63"/>
      <c r="F80" s="63"/>
      <c r="G80" s="65"/>
      <c r="H80" s="66"/>
      <c r="I80" s="66"/>
      <c r="J80" s="67"/>
      <c r="K80" s="66"/>
      <c r="L80" s="66"/>
      <c r="M80" s="68"/>
      <c r="N80" s="87"/>
      <c r="O80" s="64"/>
      <c r="P80" s="63"/>
      <c r="Q80" s="63"/>
      <c r="R80" s="69"/>
    </row>
    <row r="81" spans="1:18" x14ac:dyDescent="0.25">
      <c r="A81" s="63" t="e">
        <f>VLOOKUP(B81,Plants!$A$2:$B$39,2,0)</f>
        <v>#N/A</v>
      </c>
      <c r="B81" s="63"/>
      <c r="C81" s="64"/>
      <c r="D81" s="63"/>
      <c r="E81" s="63"/>
      <c r="F81" s="63"/>
      <c r="G81" s="65"/>
      <c r="H81" s="66"/>
      <c r="I81" s="66"/>
      <c r="J81" s="67"/>
      <c r="K81" s="66"/>
      <c r="L81" s="66"/>
      <c r="M81" s="68"/>
      <c r="N81" s="87"/>
      <c r="O81" s="64"/>
      <c r="P81" s="63"/>
      <c r="Q81" s="63"/>
      <c r="R81" s="69"/>
    </row>
    <row r="82" spans="1:18" x14ac:dyDescent="0.25">
      <c r="A82" s="63" t="e">
        <f>VLOOKUP(B82,Plants!$A$2:$B$39,2,0)</f>
        <v>#N/A</v>
      </c>
      <c r="B82" s="63"/>
      <c r="C82" s="64"/>
      <c r="D82" s="63"/>
      <c r="E82" s="63"/>
      <c r="F82" s="63"/>
      <c r="G82" s="65"/>
      <c r="H82" s="66"/>
      <c r="I82" s="66"/>
      <c r="J82" s="67"/>
      <c r="K82" s="66"/>
      <c r="L82" s="66"/>
      <c r="M82" s="68"/>
      <c r="N82" s="87"/>
      <c r="O82" s="64"/>
      <c r="P82" s="63"/>
      <c r="Q82" s="63"/>
      <c r="R82" s="69"/>
    </row>
    <row r="83" spans="1:18" x14ac:dyDescent="0.25">
      <c r="A83" s="63" t="e">
        <f>VLOOKUP(B83,Plants!$A$2:$B$39,2,0)</f>
        <v>#N/A</v>
      </c>
      <c r="B83" s="63"/>
      <c r="C83" s="64"/>
      <c r="D83" s="63"/>
      <c r="E83" s="63"/>
      <c r="F83" s="63"/>
      <c r="G83" s="65"/>
      <c r="H83" s="66"/>
      <c r="I83" s="66"/>
      <c r="J83" s="67"/>
      <c r="K83" s="66"/>
      <c r="L83" s="66"/>
      <c r="M83" s="68"/>
      <c r="N83" s="87"/>
      <c r="O83" s="64"/>
      <c r="P83" s="63"/>
      <c r="Q83" s="63"/>
      <c r="R83" s="69"/>
    </row>
    <row r="84" spans="1:18" x14ac:dyDescent="0.25">
      <c r="A84" s="63" t="e">
        <f>VLOOKUP(B84,Plants!$A$2:$B$39,2,0)</f>
        <v>#N/A</v>
      </c>
      <c r="B84" s="63"/>
      <c r="C84" s="64"/>
      <c r="D84" s="63"/>
      <c r="E84" s="63"/>
      <c r="F84" s="63"/>
      <c r="G84" s="65"/>
      <c r="H84" s="66"/>
      <c r="I84" s="66"/>
      <c r="J84" s="67"/>
      <c r="K84" s="66"/>
      <c r="L84" s="66"/>
      <c r="M84" s="68"/>
      <c r="N84" s="87"/>
      <c r="O84" s="64"/>
      <c r="P84" s="63"/>
      <c r="Q84" s="63"/>
      <c r="R84" s="69"/>
    </row>
    <row r="85" spans="1:18" x14ac:dyDescent="0.25">
      <c r="A85" s="63" t="e">
        <f>VLOOKUP(B85,Plants!$A$2:$B$39,2,0)</f>
        <v>#N/A</v>
      </c>
      <c r="B85" s="63"/>
      <c r="C85" s="64"/>
      <c r="D85" s="63"/>
      <c r="E85" s="63"/>
      <c r="F85" s="63"/>
      <c r="G85" s="65"/>
      <c r="H85" s="66"/>
      <c r="I85" s="66"/>
      <c r="J85" s="67"/>
      <c r="K85" s="66"/>
      <c r="L85" s="66"/>
      <c r="M85" s="68"/>
      <c r="N85" s="87"/>
      <c r="O85" s="64"/>
      <c r="P85" s="63"/>
      <c r="Q85" s="63"/>
      <c r="R85" s="69"/>
    </row>
    <row r="86" spans="1:18" x14ac:dyDescent="0.25">
      <c r="A86" s="63" t="e">
        <f>VLOOKUP(B86,Plants!$A$2:$B$39,2,0)</f>
        <v>#N/A</v>
      </c>
      <c r="B86" s="63"/>
      <c r="C86" s="64"/>
      <c r="D86" s="63"/>
      <c r="E86" s="63"/>
      <c r="F86" s="63"/>
      <c r="G86" s="65"/>
      <c r="H86" s="66"/>
      <c r="I86" s="66"/>
      <c r="J86" s="67"/>
      <c r="K86" s="66"/>
      <c r="L86" s="66"/>
      <c r="M86" s="68"/>
      <c r="N86" s="87"/>
      <c r="O86" s="64"/>
      <c r="P86" s="63"/>
      <c r="Q86" s="63"/>
      <c r="R86" s="69"/>
    </row>
    <row r="87" spans="1:18" x14ac:dyDescent="0.25">
      <c r="A87" s="63" t="e">
        <f>VLOOKUP(B87,Plants!$A$2:$B$39,2,0)</f>
        <v>#N/A</v>
      </c>
      <c r="B87" s="63"/>
      <c r="C87" s="64"/>
      <c r="D87" s="63"/>
      <c r="E87" s="63"/>
      <c r="F87" s="63"/>
      <c r="G87" s="65"/>
      <c r="H87" s="66"/>
      <c r="I87" s="66"/>
      <c r="J87" s="67"/>
      <c r="K87" s="66"/>
      <c r="L87" s="66"/>
      <c r="M87" s="68"/>
      <c r="N87" s="87"/>
      <c r="O87" s="64"/>
      <c r="P87" s="63"/>
      <c r="Q87" s="63"/>
      <c r="R87" s="69"/>
    </row>
    <row r="88" spans="1:18" x14ac:dyDescent="0.25">
      <c r="A88" s="63" t="e">
        <f>VLOOKUP(B88,Plants!$A$2:$B$39,2,0)</f>
        <v>#N/A</v>
      </c>
      <c r="B88" s="63"/>
      <c r="C88" s="64"/>
      <c r="D88" s="63"/>
      <c r="E88" s="63"/>
      <c r="F88" s="63"/>
      <c r="G88" s="65"/>
      <c r="H88" s="66"/>
      <c r="I88" s="66"/>
      <c r="J88" s="67"/>
      <c r="K88" s="66"/>
      <c r="L88" s="66"/>
      <c r="M88" s="68"/>
      <c r="N88" s="87"/>
      <c r="O88" s="64"/>
      <c r="P88" s="63"/>
      <c r="Q88" s="63"/>
      <c r="R88" s="69"/>
    </row>
    <row r="89" spans="1:18" x14ac:dyDescent="0.25">
      <c r="A89" s="63" t="e">
        <f>VLOOKUP(B89,Plants!$A$2:$B$39,2,0)</f>
        <v>#N/A</v>
      </c>
      <c r="B89" s="63"/>
      <c r="C89" s="64"/>
      <c r="D89" s="63"/>
      <c r="E89" s="63"/>
      <c r="F89" s="63"/>
      <c r="G89" s="65"/>
      <c r="H89" s="66"/>
      <c r="I89" s="66"/>
      <c r="J89" s="67"/>
      <c r="K89" s="66"/>
      <c r="L89" s="66"/>
      <c r="M89" s="68"/>
      <c r="N89" s="87"/>
      <c r="O89" s="64"/>
      <c r="P89" s="63"/>
      <c r="Q89" s="63"/>
      <c r="R89" s="69"/>
    </row>
    <row r="90" spans="1:18" x14ac:dyDescent="0.25">
      <c r="A90" s="63" t="e">
        <f>VLOOKUP(B90,Plants!$A$2:$B$39,2,0)</f>
        <v>#N/A</v>
      </c>
      <c r="B90" s="63"/>
      <c r="C90" s="64"/>
      <c r="D90" s="63"/>
      <c r="E90" s="63"/>
      <c r="F90" s="63"/>
      <c r="G90" s="65"/>
      <c r="H90" s="66"/>
      <c r="I90" s="66"/>
      <c r="J90" s="67"/>
      <c r="K90" s="66"/>
      <c r="L90" s="66"/>
      <c r="M90" s="68"/>
      <c r="N90" s="87"/>
      <c r="O90" s="64"/>
      <c r="P90" s="63"/>
      <c r="Q90" s="63"/>
      <c r="R90" s="69"/>
    </row>
    <row r="91" spans="1:18" x14ac:dyDescent="0.25">
      <c r="A91" s="63" t="e">
        <f>VLOOKUP(B91,Plants!$A$2:$B$39,2,0)</f>
        <v>#N/A</v>
      </c>
      <c r="B91" s="63"/>
      <c r="C91" s="64"/>
      <c r="D91" s="63"/>
      <c r="E91" s="63"/>
      <c r="F91" s="63"/>
      <c r="G91" s="65"/>
      <c r="H91" s="66"/>
      <c r="I91" s="66"/>
      <c r="J91" s="67"/>
      <c r="K91" s="66"/>
      <c r="L91" s="66"/>
      <c r="M91" s="68"/>
      <c r="N91" s="87"/>
      <c r="O91" s="64"/>
      <c r="P91" s="63"/>
      <c r="Q91" s="63"/>
      <c r="R91" s="69"/>
    </row>
    <row r="92" spans="1:18" x14ac:dyDescent="0.25">
      <c r="A92" s="63" t="e">
        <f>VLOOKUP(B92,Plants!$A$2:$B$39,2,0)</f>
        <v>#N/A</v>
      </c>
      <c r="B92" s="63"/>
      <c r="C92" s="64"/>
      <c r="D92" s="63"/>
      <c r="E92" s="63"/>
      <c r="F92" s="63"/>
      <c r="G92" s="65"/>
      <c r="H92" s="66"/>
      <c r="I92" s="66"/>
      <c r="J92" s="67"/>
      <c r="K92" s="66"/>
      <c r="L92" s="66"/>
      <c r="M92" s="68"/>
      <c r="N92" s="87"/>
      <c r="O92" s="64"/>
      <c r="P92" s="63"/>
      <c r="Q92" s="63"/>
      <c r="R92" s="69"/>
    </row>
    <row r="93" spans="1:18" x14ac:dyDescent="0.25">
      <c r="A93" s="63" t="e">
        <f>VLOOKUP(B93,Plants!$A$2:$B$39,2,0)</f>
        <v>#N/A</v>
      </c>
      <c r="B93" s="63"/>
      <c r="C93" s="64"/>
      <c r="D93" s="63"/>
      <c r="E93" s="63"/>
      <c r="F93" s="63"/>
      <c r="G93" s="65"/>
      <c r="H93" s="66"/>
      <c r="I93" s="66"/>
      <c r="J93" s="67"/>
      <c r="K93" s="66"/>
      <c r="L93" s="66"/>
      <c r="M93" s="68"/>
      <c r="N93" s="87"/>
      <c r="O93" s="64"/>
      <c r="P93" s="63"/>
      <c r="Q93" s="63"/>
      <c r="R93" s="69"/>
    </row>
    <row r="94" spans="1:18" x14ac:dyDescent="0.25">
      <c r="A94" s="63" t="e">
        <f>VLOOKUP(B94,Plants!$A$2:$B$39,2,0)</f>
        <v>#N/A</v>
      </c>
      <c r="B94" s="63"/>
      <c r="C94" s="64"/>
      <c r="D94" s="63"/>
      <c r="E94" s="63"/>
      <c r="F94" s="63"/>
      <c r="G94" s="65"/>
      <c r="H94" s="66"/>
      <c r="I94" s="66"/>
      <c r="J94" s="67"/>
      <c r="K94" s="66"/>
      <c r="L94" s="66"/>
      <c r="M94" s="68"/>
      <c r="N94" s="87"/>
      <c r="O94" s="64"/>
      <c r="P94" s="63"/>
      <c r="Q94" s="63"/>
      <c r="R94" s="69"/>
    </row>
    <row r="95" spans="1:18" x14ac:dyDescent="0.25">
      <c r="A95" s="63" t="e">
        <f>VLOOKUP(B95,Plants!$A$2:$B$39,2,0)</f>
        <v>#N/A</v>
      </c>
      <c r="B95" s="63"/>
      <c r="C95" s="64"/>
      <c r="D95" s="63"/>
      <c r="E95" s="63"/>
      <c r="F95" s="63"/>
      <c r="G95" s="65"/>
      <c r="H95" s="66"/>
      <c r="I95" s="66"/>
      <c r="J95" s="67"/>
      <c r="K95" s="66"/>
      <c r="L95" s="66"/>
      <c r="M95" s="68"/>
      <c r="N95" s="87"/>
      <c r="O95" s="64"/>
      <c r="P95" s="63"/>
      <c r="Q95" s="63"/>
      <c r="R95" s="69"/>
    </row>
    <row r="96" spans="1:18" x14ac:dyDescent="0.25">
      <c r="A96" s="63" t="e">
        <f>VLOOKUP(B96,Plants!$A$2:$B$39,2,0)</f>
        <v>#N/A</v>
      </c>
      <c r="B96" s="63"/>
      <c r="C96" s="64"/>
      <c r="D96" s="63"/>
      <c r="E96" s="63"/>
      <c r="F96" s="63"/>
      <c r="G96" s="65"/>
      <c r="H96" s="66"/>
      <c r="I96" s="66"/>
      <c r="J96" s="67"/>
      <c r="K96" s="66"/>
      <c r="L96" s="66"/>
      <c r="M96" s="68"/>
      <c r="N96" s="87"/>
      <c r="O96" s="64"/>
      <c r="P96" s="63"/>
      <c r="Q96" s="63"/>
      <c r="R96" s="69"/>
    </row>
    <row r="97" spans="1:18" x14ac:dyDescent="0.25">
      <c r="A97" s="63" t="e">
        <f>VLOOKUP(B97,Plants!$A$2:$B$39,2,0)</f>
        <v>#N/A</v>
      </c>
      <c r="B97" s="63"/>
      <c r="C97" s="64"/>
      <c r="D97" s="63"/>
      <c r="E97" s="63"/>
      <c r="F97" s="63"/>
      <c r="G97" s="65"/>
      <c r="H97" s="66"/>
      <c r="I97" s="66"/>
      <c r="J97" s="67"/>
      <c r="K97" s="66"/>
      <c r="L97" s="66"/>
      <c r="M97" s="68"/>
      <c r="N97" s="87"/>
      <c r="O97" s="64"/>
      <c r="P97" s="63"/>
      <c r="Q97" s="63"/>
      <c r="R97" s="69"/>
    </row>
    <row r="98" spans="1:18" x14ac:dyDescent="0.25">
      <c r="A98" s="63" t="e">
        <f>VLOOKUP(B98,Plants!$A$2:$B$39,2,0)</f>
        <v>#N/A</v>
      </c>
      <c r="B98" s="63"/>
      <c r="C98" s="64"/>
      <c r="D98" s="63"/>
      <c r="E98" s="63"/>
      <c r="F98" s="63"/>
      <c r="G98" s="65"/>
      <c r="H98" s="66"/>
      <c r="I98" s="66"/>
      <c r="J98" s="67"/>
      <c r="K98" s="66"/>
      <c r="L98" s="66"/>
      <c r="M98" s="68"/>
      <c r="N98" s="87"/>
      <c r="O98" s="64"/>
      <c r="P98" s="63"/>
      <c r="Q98" s="63"/>
      <c r="R98" s="69"/>
    </row>
    <row r="99" spans="1:18" x14ac:dyDescent="0.25">
      <c r="A99" s="63" t="e">
        <f>VLOOKUP(B99,Plants!$A$2:$B$39,2,0)</f>
        <v>#N/A</v>
      </c>
      <c r="B99" s="63"/>
      <c r="C99" s="64"/>
      <c r="D99" s="63"/>
      <c r="E99" s="63"/>
      <c r="F99" s="63"/>
      <c r="G99" s="65"/>
      <c r="H99" s="66"/>
      <c r="I99" s="66"/>
      <c r="J99" s="67"/>
      <c r="K99" s="66"/>
      <c r="L99" s="66"/>
      <c r="M99" s="68"/>
      <c r="N99" s="87"/>
      <c r="O99" s="64"/>
      <c r="P99" s="63"/>
      <c r="Q99" s="63"/>
      <c r="R99" s="69"/>
    </row>
    <row r="100" spans="1:18" x14ac:dyDescent="0.25">
      <c r="A100" s="63" t="e">
        <f>VLOOKUP(B100,Plants!$A$2:$B$39,2,0)</f>
        <v>#N/A</v>
      </c>
      <c r="B100" s="63"/>
      <c r="C100" s="64"/>
      <c r="D100" s="63"/>
      <c r="E100" s="63"/>
      <c r="F100" s="63"/>
      <c r="G100" s="65"/>
      <c r="H100" s="66"/>
      <c r="I100" s="66"/>
      <c r="J100" s="67"/>
      <c r="K100" s="66"/>
      <c r="L100" s="66"/>
      <c r="M100" s="68"/>
      <c r="N100" s="87"/>
      <c r="O100" s="64"/>
      <c r="P100" s="63"/>
      <c r="Q100" s="63"/>
      <c r="R100" s="69"/>
    </row>
    <row r="101" spans="1:18" x14ac:dyDescent="0.25">
      <c r="A101" s="63" t="e">
        <f>VLOOKUP(B101,Plants!$A$2:$B$39,2,0)</f>
        <v>#N/A</v>
      </c>
      <c r="B101" s="63"/>
      <c r="C101" s="64"/>
      <c r="D101" s="63"/>
      <c r="E101" s="63"/>
      <c r="F101" s="63"/>
      <c r="G101" s="65"/>
      <c r="H101" s="66"/>
      <c r="I101" s="66"/>
      <c r="J101" s="67"/>
      <c r="K101" s="66"/>
      <c r="L101" s="66"/>
      <c r="M101" s="68"/>
      <c r="N101" s="87"/>
      <c r="O101" s="64"/>
      <c r="P101" s="63"/>
      <c r="Q101" s="63"/>
      <c r="R101" s="69"/>
    </row>
    <row r="102" spans="1:18" x14ac:dyDescent="0.25">
      <c r="A102" s="63" t="e">
        <f>VLOOKUP(B102,Plants!$A$2:$B$39,2,0)</f>
        <v>#N/A</v>
      </c>
      <c r="B102" s="63"/>
      <c r="C102" s="64"/>
      <c r="D102" s="63"/>
      <c r="E102" s="63"/>
      <c r="F102" s="63"/>
      <c r="G102" s="65"/>
      <c r="H102" s="66"/>
      <c r="I102" s="66"/>
      <c r="J102" s="67"/>
      <c r="K102" s="66"/>
      <c r="L102" s="66"/>
      <c r="M102" s="68"/>
      <c r="N102" s="87"/>
      <c r="O102" s="64"/>
      <c r="P102" s="63"/>
      <c r="Q102" s="63"/>
      <c r="R102" s="69"/>
    </row>
    <row r="103" spans="1:18" x14ac:dyDescent="0.25">
      <c r="A103" s="63" t="e">
        <f>VLOOKUP(B103,Plants!$A$2:$B$39,2,0)</f>
        <v>#N/A</v>
      </c>
      <c r="B103" s="63"/>
      <c r="C103" s="64"/>
      <c r="D103" s="63"/>
      <c r="E103" s="63"/>
      <c r="F103" s="63"/>
      <c r="G103" s="65"/>
      <c r="H103" s="66"/>
      <c r="I103" s="66"/>
      <c r="J103" s="67"/>
      <c r="K103" s="66"/>
      <c r="L103" s="66"/>
      <c r="M103" s="68"/>
      <c r="N103" s="87"/>
      <c r="O103" s="64"/>
      <c r="P103" s="63"/>
      <c r="Q103" s="63"/>
      <c r="R103" s="69"/>
    </row>
    <row r="104" spans="1:18" x14ac:dyDescent="0.25">
      <c r="A104" s="63" t="e">
        <f>VLOOKUP(B104,Plants!$A$2:$B$39,2,0)</f>
        <v>#N/A</v>
      </c>
      <c r="B104" s="63"/>
      <c r="C104" s="64"/>
      <c r="D104" s="63"/>
      <c r="E104" s="63"/>
      <c r="F104" s="63"/>
      <c r="G104" s="65"/>
      <c r="H104" s="66"/>
      <c r="I104" s="66"/>
      <c r="J104" s="67"/>
      <c r="K104" s="66"/>
      <c r="L104" s="66"/>
      <c r="M104" s="68"/>
      <c r="N104" s="87"/>
      <c r="O104" s="64"/>
      <c r="P104" s="63"/>
      <c r="Q104" s="63"/>
      <c r="R104" s="69"/>
    </row>
    <row r="105" spans="1:18" x14ac:dyDescent="0.25">
      <c r="A105" s="63" t="e">
        <f>VLOOKUP(B105,Plants!$A$2:$B$39,2,0)</f>
        <v>#N/A</v>
      </c>
      <c r="B105" s="63"/>
      <c r="C105" s="64"/>
      <c r="D105" s="63"/>
      <c r="E105" s="63"/>
      <c r="F105" s="63"/>
      <c r="G105" s="65"/>
      <c r="H105" s="66"/>
      <c r="I105" s="66"/>
      <c r="J105" s="67"/>
      <c r="K105" s="66"/>
      <c r="L105" s="66"/>
      <c r="M105" s="68"/>
      <c r="N105" s="87"/>
      <c r="O105" s="64"/>
      <c r="P105" s="63"/>
      <c r="Q105" s="63"/>
      <c r="R105" s="69"/>
    </row>
    <row r="106" spans="1:18" x14ac:dyDescent="0.25">
      <c r="A106" s="63" t="e">
        <f>VLOOKUP(B106,Plants!$A$2:$B$39,2,0)</f>
        <v>#N/A</v>
      </c>
      <c r="B106" s="63"/>
      <c r="C106" s="64"/>
      <c r="D106" s="63"/>
      <c r="E106" s="63"/>
      <c r="F106" s="63"/>
      <c r="G106" s="65"/>
      <c r="H106" s="66"/>
      <c r="I106" s="66"/>
      <c r="J106" s="67"/>
      <c r="K106" s="66"/>
      <c r="L106" s="66"/>
      <c r="M106" s="68"/>
      <c r="N106" s="87"/>
      <c r="O106" s="64"/>
      <c r="P106" s="63"/>
      <c r="Q106" s="63"/>
      <c r="R106" s="69"/>
    </row>
    <row r="107" spans="1:18" x14ac:dyDescent="0.25">
      <c r="A107" s="63" t="e">
        <f>VLOOKUP(B107,Plants!$A$2:$B$39,2,0)</f>
        <v>#N/A</v>
      </c>
      <c r="B107" s="63"/>
      <c r="C107" s="64"/>
      <c r="D107" s="63"/>
      <c r="E107" s="63"/>
      <c r="F107" s="63"/>
      <c r="G107" s="65"/>
      <c r="H107" s="66"/>
      <c r="I107" s="66"/>
      <c r="J107" s="67"/>
      <c r="K107" s="66"/>
      <c r="L107" s="66"/>
      <c r="M107" s="68"/>
      <c r="N107" s="87"/>
      <c r="O107" s="64"/>
      <c r="P107" s="63"/>
      <c r="Q107" s="63"/>
      <c r="R107" s="69"/>
    </row>
    <row r="108" spans="1:18" x14ac:dyDescent="0.25">
      <c r="A108" s="63" t="e">
        <f>VLOOKUP(B108,Plants!$A$2:$B$39,2,0)</f>
        <v>#N/A</v>
      </c>
      <c r="B108" s="63"/>
      <c r="C108" s="64"/>
      <c r="D108" s="63"/>
      <c r="E108" s="63"/>
      <c r="F108" s="63"/>
      <c r="G108" s="65"/>
      <c r="H108" s="66"/>
      <c r="I108" s="66"/>
      <c r="J108" s="67"/>
      <c r="K108" s="66"/>
      <c r="L108" s="66"/>
      <c r="M108" s="68"/>
      <c r="N108" s="87"/>
      <c r="O108" s="64"/>
      <c r="P108" s="63"/>
      <c r="Q108" s="63"/>
      <c r="R108" s="69"/>
    </row>
    <row r="109" spans="1:18" x14ac:dyDescent="0.25">
      <c r="A109" s="63" t="e">
        <f>VLOOKUP(B109,Plants!$A$2:$B$39,2,0)</f>
        <v>#N/A</v>
      </c>
      <c r="B109" s="63"/>
      <c r="C109" s="64"/>
      <c r="D109" s="63"/>
      <c r="E109" s="63"/>
      <c r="F109" s="63"/>
      <c r="G109" s="65"/>
      <c r="H109" s="66"/>
      <c r="I109" s="66"/>
      <c r="J109" s="67"/>
      <c r="K109" s="66"/>
      <c r="L109" s="66"/>
      <c r="M109" s="68"/>
      <c r="N109" s="87"/>
      <c r="O109" s="64"/>
      <c r="P109" s="63"/>
      <c r="Q109" s="63"/>
      <c r="R109" s="69"/>
    </row>
    <row r="110" spans="1:18" x14ac:dyDescent="0.25">
      <c r="A110" s="63" t="e">
        <f>VLOOKUP(B110,Plants!$A$2:$B$39,2,0)</f>
        <v>#N/A</v>
      </c>
      <c r="B110" s="63"/>
      <c r="C110" s="64"/>
      <c r="D110" s="63"/>
      <c r="E110" s="63"/>
      <c r="F110" s="63"/>
      <c r="G110" s="65"/>
      <c r="H110" s="66"/>
      <c r="I110" s="66"/>
      <c r="J110" s="67"/>
      <c r="K110" s="66"/>
      <c r="L110" s="66"/>
      <c r="M110" s="68"/>
      <c r="N110" s="87"/>
      <c r="O110" s="64"/>
      <c r="P110" s="63"/>
      <c r="Q110" s="63"/>
      <c r="R110" s="69"/>
    </row>
    <row r="111" spans="1:18" x14ac:dyDescent="0.25">
      <c r="A111" s="63" t="e">
        <f>VLOOKUP(B111,Plants!$A$2:$B$39,2,0)</f>
        <v>#N/A</v>
      </c>
      <c r="B111" s="63"/>
      <c r="C111" s="64"/>
      <c r="D111" s="63"/>
      <c r="E111" s="63"/>
      <c r="F111" s="63"/>
      <c r="G111" s="65"/>
      <c r="H111" s="66"/>
      <c r="I111" s="66"/>
      <c r="J111" s="67"/>
      <c r="K111" s="66"/>
      <c r="L111" s="66"/>
      <c r="M111" s="68"/>
      <c r="N111" s="87"/>
      <c r="O111" s="64"/>
      <c r="P111" s="63"/>
      <c r="Q111" s="63"/>
      <c r="R111" s="69"/>
    </row>
    <row r="112" spans="1:18" x14ac:dyDescent="0.25">
      <c r="A112" s="63" t="e">
        <f>VLOOKUP(B112,Plants!$A$2:$B$39,2,0)</f>
        <v>#N/A</v>
      </c>
      <c r="B112" s="63"/>
      <c r="C112" s="64"/>
      <c r="D112" s="63"/>
      <c r="E112" s="63"/>
      <c r="F112" s="63"/>
      <c r="G112" s="65"/>
      <c r="H112" s="66"/>
      <c r="I112" s="66"/>
      <c r="J112" s="67"/>
      <c r="K112" s="66"/>
      <c r="L112" s="66"/>
      <c r="M112" s="68"/>
      <c r="N112" s="87"/>
      <c r="O112" s="64"/>
      <c r="P112" s="63"/>
      <c r="Q112" s="63"/>
      <c r="R112" s="69"/>
    </row>
    <row r="113" spans="1:18" x14ac:dyDescent="0.25">
      <c r="A113" s="63" t="e">
        <f>VLOOKUP(B113,Plants!$A$2:$B$39,2,0)</f>
        <v>#N/A</v>
      </c>
      <c r="B113" s="63"/>
      <c r="C113" s="64"/>
      <c r="D113" s="63"/>
      <c r="E113" s="63"/>
      <c r="F113" s="63"/>
      <c r="G113" s="65"/>
      <c r="H113" s="66"/>
      <c r="I113" s="66"/>
      <c r="J113" s="67"/>
      <c r="K113" s="66"/>
      <c r="L113" s="66"/>
      <c r="M113" s="68"/>
      <c r="N113" s="87"/>
      <c r="O113" s="64"/>
      <c r="P113" s="63"/>
      <c r="Q113" s="63"/>
      <c r="R113" s="69"/>
    </row>
    <row r="114" spans="1:18" x14ac:dyDescent="0.25">
      <c r="A114" s="63" t="e">
        <f>VLOOKUP(B114,Plants!$A$2:$B$39,2,0)</f>
        <v>#N/A</v>
      </c>
      <c r="B114" s="63"/>
      <c r="C114" s="64"/>
      <c r="D114" s="63"/>
      <c r="E114" s="63"/>
      <c r="F114" s="63"/>
      <c r="G114" s="65"/>
      <c r="H114" s="66"/>
      <c r="I114" s="66"/>
      <c r="J114" s="67"/>
      <c r="K114" s="66"/>
      <c r="L114" s="66"/>
      <c r="M114" s="68"/>
      <c r="N114" s="87"/>
      <c r="O114" s="64"/>
      <c r="P114" s="63"/>
      <c r="Q114" s="63"/>
      <c r="R114" s="69"/>
    </row>
    <row r="115" spans="1:18" x14ac:dyDescent="0.25">
      <c r="A115" s="63" t="e">
        <f>VLOOKUP(B115,Plants!$A$2:$B$39,2,0)</f>
        <v>#N/A</v>
      </c>
      <c r="B115" s="63"/>
      <c r="C115" s="64"/>
      <c r="D115" s="63"/>
      <c r="E115" s="63"/>
      <c r="F115" s="63"/>
      <c r="G115" s="65"/>
      <c r="H115" s="66"/>
      <c r="I115" s="66"/>
      <c r="J115" s="67"/>
      <c r="K115" s="66"/>
      <c r="L115" s="66"/>
      <c r="M115" s="68"/>
      <c r="N115" s="87"/>
      <c r="O115" s="64"/>
      <c r="P115" s="63"/>
      <c r="Q115" s="63"/>
      <c r="R115" s="69"/>
    </row>
    <row r="116" spans="1:18" x14ac:dyDescent="0.25">
      <c r="A116" s="63" t="e">
        <f>VLOOKUP(B116,Plants!$A$2:$B$39,2,0)</f>
        <v>#N/A</v>
      </c>
      <c r="B116" s="63"/>
      <c r="C116" s="64"/>
      <c r="D116" s="63"/>
      <c r="E116" s="63"/>
      <c r="F116" s="63"/>
      <c r="G116" s="65"/>
      <c r="H116" s="66"/>
      <c r="I116" s="66"/>
      <c r="J116" s="67"/>
      <c r="K116" s="66"/>
      <c r="L116" s="66"/>
      <c r="M116" s="68"/>
      <c r="N116" s="87"/>
      <c r="O116" s="64"/>
      <c r="P116" s="63"/>
      <c r="Q116" s="63"/>
      <c r="R116" s="69"/>
    </row>
    <row r="117" spans="1:18" x14ac:dyDescent="0.25">
      <c r="A117" s="63" t="e">
        <f>VLOOKUP(B117,Plants!$A$2:$B$39,2,0)</f>
        <v>#N/A</v>
      </c>
      <c r="B117" s="63"/>
      <c r="C117" s="64"/>
      <c r="D117" s="63"/>
      <c r="E117" s="63"/>
      <c r="F117" s="63"/>
      <c r="G117" s="65"/>
      <c r="H117" s="66"/>
      <c r="I117" s="66"/>
      <c r="J117" s="67"/>
      <c r="K117" s="66"/>
      <c r="L117" s="66"/>
      <c r="M117" s="68"/>
      <c r="N117" s="87"/>
      <c r="O117" s="64"/>
      <c r="P117" s="63"/>
      <c r="Q117" s="63"/>
      <c r="R117" s="69"/>
    </row>
    <row r="118" spans="1:18" x14ac:dyDescent="0.25">
      <c r="O118" s="71" t="e">
        <f>s</f>
        <v>#NAME?</v>
      </c>
    </row>
  </sheetData>
  <autoFilter ref="A2:R118" xr:uid="{D77C2D6C-698D-4BDB-97CD-1C03930C1B8D}"/>
  <sortState xmlns:xlrd2="http://schemas.microsoft.com/office/spreadsheetml/2017/richdata2" ref="A3:R22">
    <sortCondition ref="A3:A22"/>
    <sortCondition ref="C3:C22"/>
    <sortCondition ref="F3:F22"/>
  </sortState>
  <pageMargins left="0.51181102362204722" right="0.35433070866141736" top="0.47244094488188981" bottom="0.47244094488188981" header="0.23622047244094491" footer="0.31496062992125984"/>
  <pageSetup paperSize="8" scale="71" fitToHeight="0" orientation="landscape" r:id="rId1"/>
  <headerFooter>
    <oddHeader>&amp;F</oddHeader>
    <oddFooter>&amp;L&amp;A&amp;C&amp;"Calibri,Bold"Confidential&amp;RPage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Q279"/>
  <sheetViews>
    <sheetView zoomScale="90" zoomScaleNormal="90" workbookViewId="0">
      <pane ySplit="2" topLeftCell="A3" activePane="bottomLeft" state="frozen"/>
      <selection pane="bottomLeft" activeCell="H29" sqref="H29"/>
    </sheetView>
  </sheetViews>
  <sheetFormatPr defaultColWidth="8.85546875" defaultRowHeight="12.75" x14ac:dyDescent="0.25"/>
  <cols>
    <col min="1" max="1" width="16.28515625" style="14" customWidth="1"/>
    <col min="2" max="2" width="8.7109375" style="14" customWidth="1"/>
    <col min="3" max="3" width="13" style="15" customWidth="1"/>
    <col min="4" max="4" width="12.7109375" style="14" customWidth="1"/>
    <col min="5" max="5" width="9.5703125" style="13" hidden="1" customWidth="1"/>
    <col min="6" max="6" width="11.140625" style="14" customWidth="1"/>
    <col min="7" max="7" width="50" style="50" customWidth="1"/>
    <col min="8" max="8" width="10.85546875" style="14" customWidth="1"/>
    <col min="9" max="10" width="10.85546875" style="14" hidden="1" customWidth="1"/>
    <col min="11" max="11" width="10.85546875" style="14" customWidth="1"/>
    <col min="12" max="12" width="9.7109375" style="14" customWidth="1"/>
    <col min="13" max="13" width="9.85546875" style="16" customWidth="1"/>
    <col min="14" max="14" width="12.28515625" style="59" customWidth="1"/>
    <col min="15" max="15" width="13.42578125" style="15" customWidth="1"/>
    <col min="16" max="16" width="11.28515625" style="14" customWidth="1"/>
    <col min="17" max="17" width="38.85546875" style="17" customWidth="1"/>
    <col min="18" max="16384" width="8.85546875" style="13"/>
  </cols>
  <sheetData>
    <row r="1" spans="1:17" ht="20.25" customHeight="1" x14ac:dyDescent="0.25">
      <c r="M1" s="51" t="s">
        <v>44</v>
      </c>
      <c r="N1" s="52">
        <f>SUM(N3:N140)</f>
        <v>432425.33000000007</v>
      </c>
      <c r="O1" s="61"/>
      <c r="P1" s="62"/>
    </row>
    <row r="2" spans="1:17" ht="38.25" x14ac:dyDescent="0.25">
      <c r="A2" s="5" t="s">
        <v>13</v>
      </c>
      <c r="B2" s="5" t="s">
        <v>2</v>
      </c>
      <c r="C2" s="6" t="s">
        <v>39</v>
      </c>
      <c r="D2" s="20" t="s">
        <v>11</v>
      </c>
      <c r="E2" s="5" t="s">
        <v>1</v>
      </c>
      <c r="F2" s="21" t="s">
        <v>37</v>
      </c>
      <c r="G2" s="53" t="s">
        <v>38</v>
      </c>
      <c r="H2" s="22" t="s">
        <v>3</v>
      </c>
      <c r="I2" s="22" t="s">
        <v>4</v>
      </c>
      <c r="J2" s="23" t="s">
        <v>5</v>
      </c>
      <c r="K2" s="22" t="s">
        <v>6</v>
      </c>
      <c r="L2" s="22" t="s">
        <v>7</v>
      </c>
      <c r="M2" s="24" t="s">
        <v>12</v>
      </c>
      <c r="N2" s="54" t="s">
        <v>8</v>
      </c>
      <c r="O2" s="25" t="s">
        <v>40</v>
      </c>
      <c r="P2" s="5" t="s">
        <v>68</v>
      </c>
      <c r="Q2" s="5" t="s">
        <v>9</v>
      </c>
    </row>
    <row r="3" spans="1:17" x14ac:dyDescent="0.25">
      <c r="A3" s="7" t="str">
        <f>VLOOKUP(B3,Plants!$A$2:$B$39,2,0)</f>
        <v>Dandenong</v>
      </c>
      <c r="B3" s="7">
        <v>35</v>
      </c>
      <c r="C3" s="8">
        <v>46111</v>
      </c>
      <c r="D3" s="7" t="s">
        <v>284</v>
      </c>
      <c r="E3" s="55" t="s">
        <v>285</v>
      </c>
      <c r="F3" s="7">
        <v>1688</v>
      </c>
      <c r="G3" s="56" t="s">
        <v>286</v>
      </c>
      <c r="H3" s="9">
        <v>300</v>
      </c>
      <c r="I3" s="9">
        <v>240</v>
      </c>
      <c r="J3" s="10">
        <v>0.8</v>
      </c>
      <c r="K3" s="9">
        <v>60</v>
      </c>
      <c r="L3" s="9">
        <v>0</v>
      </c>
      <c r="M3" s="11">
        <v>3.32</v>
      </c>
      <c r="N3" s="57">
        <v>199.2</v>
      </c>
      <c r="O3" s="8">
        <v>46213</v>
      </c>
      <c r="P3" s="7" t="s">
        <v>67</v>
      </c>
      <c r="Q3" s="58"/>
    </row>
    <row r="4" spans="1:17" x14ac:dyDescent="0.25">
      <c r="A4" s="7" t="str">
        <f>VLOOKUP(B4,Plants!$A$2:$B$39,2,0)</f>
        <v>Dandenong</v>
      </c>
      <c r="B4" s="7">
        <v>35</v>
      </c>
      <c r="C4" s="8">
        <v>46139</v>
      </c>
      <c r="D4" s="7" t="s">
        <v>331</v>
      </c>
      <c r="E4" s="55" t="s">
        <v>332</v>
      </c>
      <c r="F4" s="7">
        <v>1688</v>
      </c>
      <c r="G4" s="56" t="s">
        <v>286</v>
      </c>
      <c r="H4" s="9">
        <v>240</v>
      </c>
      <c r="I4" s="9">
        <v>0</v>
      </c>
      <c r="J4" s="10">
        <v>0</v>
      </c>
      <c r="K4" s="9">
        <v>240</v>
      </c>
      <c r="L4" s="9">
        <v>0</v>
      </c>
      <c r="M4" s="11">
        <v>3.32</v>
      </c>
      <c r="N4" s="57">
        <v>796.8</v>
      </c>
      <c r="O4" s="8">
        <v>46248</v>
      </c>
      <c r="P4" s="7" t="s">
        <v>67</v>
      </c>
      <c r="Q4" s="58"/>
    </row>
    <row r="5" spans="1:17" x14ac:dyDescent="0.25">
      <c r="A5" s="7" t="str">
        <f>VLOOKUP(B5,Plants!$A$2:$B$39,2,0)</f>
        <v>Dandenong</v>
      </c>
      <c r="B5" s="7">
        <v>35</v>
      </c>
      <c r="C5" s="8">
        <v>46111</v>
      </c>
      <c r="D5" s="7" t="s">
        <v>284</v>
      </c>
      <c r="E5" s="55" t="s">
        <v>285</v>
      </c>
      <c r="F5" s="7">
        <v>1707</v>
      </c>
      <c r="G5" s="56" t="s">
        <v>287</v>
      </c>
      <c r="H5" s="9">
        <v>100</v>
      </c>
      <c r="I5" s="9">
        <v>50</v>
      </c>
      <c r="J5" s="10">
        <v>0.5</v>
      </c>
      <c r="K5" s="9">
        <v>50</v>
      </c>
      <c r="L5" s="9">
        <v>0</v>
      </c>
      <c r="M5" s="11">
        <v>5.16</v>
      </c>
      <c r="N5" s="57">
        <v>258</v>
      </c>
      <c r="O5" s="8">
        <v>46213</v>
      </c>
      <c r="P5" s="7" t="s">
        <v>10</v>
      </c>
      <c r="Q5" s="58"/>
    </row>
    <row r="6" spans="1:17" x14ac:dyDescent="0.25">
      <c r="A6" s="7" t="str">
        <f>VLOOKUP(B6,Plants!$A$2:$B$39,2,0)</f>
        <v>Dandenong</v>
      </c>
      <c r="B6" s="7">
        <v>35</v>
      </c>
      <c r="C6" s="8">
        <v>46139</v>
      </c>
      <c r="D6" s="7" t="s">
        <v>331</v>
      </c>
      <c r="E6" s="55" t="s">
        <v>332</v>
      </c>
      <c r="F6" s="7">
        <v>1707</v>
      </c>
      <c r="G6" s="56" t="s">
        <v>287</v>
      </c>
      <c r="H6" s="9">
        <v>150</v>
      </c>
      <c r="I6" s="9">
        <v>0</v>
      </c>
      <c r="J6" s="10">
        <v>0</v>
      </c>
      <c r="K6" s="9">
        <v>150</v>
      </c>
      <c r="L6" s="9">
        <v>0</v>
      </c>
      <c r="M6" s="11">
        <v>5.16</v>
      </c>
      <c r="N6" s="57">
        <v>774</v>
      </c>
      <c r="O6" s="8">
        <v>46213</v>
      </c>
      <c r="P6" s="7" t="s">
        <v>10</v>
      </c>
      <c r="Q6" s="58"/>
    </row>
    <row r="7" spans="1:17" x14ac:dyDescent="0.25">
      <c r="A7" s="7" t="str">
        <f>VLOOKUP(B7,Plants!$A$2:$B$39,2,0)</f>
        <v>Dandenong</v>
      </c>
      <c r="B7" s="7">
        <v>35</v>
      </c>
      <c r="C7" s="8">
        <v>46111</v>
      </c>
      <c r="D7" s="7" t="s">
        <v>284</v>
      </c>
      <c r="E7" s="55" t="s">
        <v>285</v>
      </c>
      <c r="F7" s="7">
        <v>4195</v>
      </c>
      <c r="G7" s="56" t="s">
        <v>288</v>
      </c>
      <c r="H7" s="9">
        <v>360</v>
      </c>
      <c r="I7" s="9">
        <v>0</v>
      </c>
      <c r="J7" s="10">
        <v>0</v>
      </c>
      <c r="K7" s="9">
        <v>360</v>
      </c>
      <c r="L7" s="9">
        <v>0</v>
      </c>
      <c r="M7" s="11">
        <v>21.75</v>
      </c>
      <c r="N7" s="57">
        <v>7830</v>
      </c>
      <c r="O7" s="8">
        <v>46213</v>
      </c>
      <c r="P7" s="7" t="s">
        <v>67</v>
      </c>
      <c r="Q7" s="12"/>
    </row>
    <row r="8" spans="1:17" x14ac:dyDescent="0.25">
      <c r="A8" s="7" t="str">
        <f>VLOOKUP(B8,Plants!$A$2:$B$39,2,0)</f>
        <v>Dandenong</v>
      </c>
      <c r="B8" s="7">
        <v>35</v>
      </c>
      <c r="C8" s="8">
        <v>46120</v>
      </c>
      <c r="D8" s="7" t="s">
        <v>304</v>
      </c>
      <c r="E8" s="55" t="s">
        <v>305</v>
      </c>
      <c r="F8" s="7">
        <v>4195</v>
      </c>
      <c r="G8" s="56" t="s">
        <v>288</v>
      </c>
      <c r="H8" s="9">
        <v>520</v>
      </c>
      <c r="I8" s="9">
        <v>0</v>
      </c>
      <c r="J8" s="10">
        <v>0</v>
      </c>
      <c r="K8" s="9">
        <v>520</v>
      </c>
      <c r="L8" s="9">
        <v>0</v>
      </c>
      <c r="M8" s="11">
        <v>21.75</v>
      </c>
      <c r="N8" s="57">
        <v>11310</v>
      </c>
      <c r="O8" s="8">
        <v>46213</v>
      </c>
      <c r="P8" s="7" t="s">
        <v>67</v>
      </c>
      <c r="Q8" s="58"/>
    </row>
    <row r="9" spans="1:17" x14ac:dyDescent="0.25">
      <c r="A9" s="7" t="str">
        <f>VLOOKUP(B9,Plants!$A$2:$B$39,2,0)</f>
        <v>Dandenong</v>
      </c>
      <c r="B9" s="7">
        <v>35</v>
      </c>
      <c r="C9" s="8">
        <v>46139</v>
      </c>
      <c r="D9" s="7" t="s">
        <v>331</v>
      </c>
      <c r="E9" s="55" t="s">
        <v>332</v>
      </c>
      <c r="F9" s="7">
        <v>4195</v>
      </c>
      <c r="G9" s="56" t="s">
        <v>288</v>
      </c>
      <c r="H9" s="9">
        <v>320</v>
      </c>
      <c r="I9" s="9">
        <v>0</v>
      </c>
      <c r="J9" s="10">
        <v>0</v>
      </c>
      <c r="K9" s="9">
        <v>320</v>
      </c>
      <c r="L9" s="9">
        <v>0</v>
      </c>
      <c r="M9" s="11">
        <v>21.75</v>
      </c>
      <c r="N9" s="57">
        <v>6960</v>
      </c>
      <c r="O9" s="8">
        <v>46213</v>
      </c>
      <c r="P9" s="7" t="s">
        <v>67</v>
      </c>
      <c r="Q9" s="58"/>
    </row>
    <row r="10" spans="1:17" x14ac:dyDescent="0.25">
      <c r="A10" s="7" t="str">
        <f>VLOOKUP(B10,Plants!$A$2:$B$39,2,0)</f>
        <v>Dandenong</v>
      </c>
      <c r="B10" s="7">
        <v>35</v>
      </c>
      <c r="C10" s="8">
        <v>46007</v>
      </c>
      <c r="D10" s="7" t="s">
        <v>181</v>
      </c>
      <c r="E10" s="55" t="s">
        <v>182</v>
      </c>
      <c r="F10" s="7">
        <v>11278</v>
      </c>
      <c r="G10" s="56" t="s">
        <v>185</v>
      </c>
      <c r="H10" s="9">
        <v>160</v>
      </c>
      <c r="I10" s="9">
        <v>75</v>
      </c>
      <c r="J10" s="10">
        <v>0.46875</v>
      </c>
      <c r="K10" s="9">
        <v>0</v>
      </c>
      <c r="L10" s="9">
        <v>85</v>
      </c>
      <c r="M10" s="11">
        <v>108.65</v>
      </c>
      <c r="N10" s="57">
        <v>0</v>
      </c>
      <c r="O10" s="8">
        <v>46141</v>
      </c>
      <c r="P10" s="7" t="s">
        <v>10</v>
      </c>
      <c r="Q10" s="58" t="s">
        <v>324</v>
      </c>
    </row>
    <row r="11" spans="1:17" x14ac:dyDescent="0.25">
      <c r="A11" s="7" t="str">
        <f>VLOOKUP(B11,Plants!$A$2:$B$39,2,0)</f>
        <v>Dandenong</v>
      </c>
      <c r="B11" s="7">
        <v>35</v>
      </c>
      <c r="C11" s="8">
        <v>46037</v>
      </c>
      <c r="D11" s="7" t="s">
        <v>187</v>
      </c>
      <c r="E11" s="55" t="s">
        <v>188</v>
      </c>
      <c r="F11" s="7">
        <v>11278</v>
      </c>
      <c r="G11" s="56" t="s">
        <v>185</v>
      </c>
      <c r="H11" s="9">
        <v>160</v>
      </c>
      <c r="I11" s="9">
        <v>0</v>
      </c>
      <c r="J11" s="10">
        <v>0</v>
      </c>
      <c r="K11" s="9">
        <v>160</v>
      </c>
      <c r="L11" s="9">
        <v>0</v>
      </c>
      <c r="M11" s="11">
        <v>108.65</v>
      </c>
      <c r="N11" s="57">
        <v>17384</v>
      </c>
      <c r="O11" s="8">
        <v>46149</v>
      </c>
      <c r="P11" s="7" t="s">
        <v>10</v>
      </c>
      <c r="Q11" s="58"/>
    </row>
    <row r="12" spans="1:17" x14ac:dyDescent="0.25">
      <c r="A12" s="7" t="str">
        <f>VLOOKUP(B12,Plants!$A$2:$B$39,2,0)</f>
        <v>Dandenong</v>
      </c>
      <c r="B12" s="7">
        <v>35</v>
      </c>
      <c r="C12" s="8">
        <v>46072</v>
      </c>
      <c r="D12" s="7" t="s">
        <v>236</v>
      </c>
      <c r="E12" s="55" t="s">
        <v>237</v>
      </c>
      <c r="F12" s="7">
        <v>13498</v>
      </c>
      <c r="G12" s="56" t="s">
        <v>254</v>
      </c>
      <c r="H12" s="9">
        <v>200</v>
      </c>
      <c r="I12" s="9">
        <v>74</v>
      </c>
      <c r="J12" s="10">
        <v>0.37</v>
      </c>
      <c r="K12" s="9">
        <v>126</v>
      </c>
      <c r="L12" s="9">
        <v>0</v>
      </c>
      <c r="M12" s="11">
        <v>11.55</v>
      </c>
      <c r="N12" s="57">
        <v>1455.3000000000002</v>
      </c>
      <c r="O12" s="8">
        <v>46178</v>
      </c>
      <c r="P12" s="7" t="s">
        <v>10</v>
      </c>
      <c r="Q12" s="58"/>
    </row>
    <row r="13" spans="1:17" x14ac:dyDescent="0.25">
      <c r="A13" s="7" t="str">
        <f>VLOOKUP(B13,Plants!$A$2:$B$39,2,0)</f>
        <v>Dandenong</v>
      </c>
      <c r="B13" s="7">
        <v>35</v>
      </c>
      <c r="C13" s="8">
        <v>46111</v>
      </c>
      <c r="D13" s="7" t="s">
        <v>284</v>
      </c>
      <c r="E13" s="55" t="s">
        <v>285</v>
      </c>
      <c r="F13" s="7">
        <v>13498</v>
      </c>
      <c r="G13" s="56" t="s">
        <v>254</v>
      </c>
      <c r="H13" s="9">
        <v>100</v>
      </c>
      <c r="I13" s="9">
        <v>0</v>
      </c>
      <c r="J13" s="10">
        <v>0</v>
      </c>
      <c r="K13" s="9">
        <v>100</v>
      </c>
      <c r="L13" s="9">
        <v>0</v>
      </c>
      <c r="M13" s="11">
        <v>11.55</v>
      </c>
      <c r="N13" s="57">
        <v>1155</v>
      </c>
      <c r="O13" s="8">
        <v>46178</v>
      </c>
      <c r="P13" s="7" t="s">
        <v>10</v>
      </c>
      <c r="Q13" s="58"/>
    </row>
    <row r="14" spans="1:17" x14ac:dyDescent="0.25">
      <c r="A14" s="7" t="str">
        <f>VLOOKUP(B14,Plants!$A$2:$B$39,2,0)</f>
        <v>Dandenong</v>
      </c>
      <c r="B14" s="7">
        <v>35</v>
      </c>
      <c r="C14" s="8">
        <v>46139</v>
      </c>
      <c r="D14" s="7" t="s">
        <v>331</v>
      </c>
      <c r="E14" s="55" t="s">
        <v>332</v>
      </c>
      <c r="F14" s="7">
        <v>13498</v>
      </c>
      <c r="G14" s="56" t="s">
        <v>254</v>
      </c>
      <c r="H14" s="9">
        <v>100</v>
      </c>
      <c r="I14" s="9">
        <v>0</v>
      </c>
      <c r="J14" s="10">
        <v>0</v>
      </c>
      <c r="K14" s="9">
        <v>100</v>
      </c>
      <c r="L14" s="9">
        <v>0</v>
      </c>
      <c r="M14" s="11">
        <v>11.55</v>
      </c>
      <c r="N14" s="57">
        <v>1155</v>
      </c>
      <c r="O14" s="8">
        <v>46178</v>
      </c>
      <c r="P14" s="7" t="s">
        <v>10</v>
      </c>
      <c r="Q14" s="58"/>
    </row>
    <row r="15" spans="1:17" x14ac:dyDescent="0.25">
      <c r="A15" s="7" t="str">
        <f>VLOOKUP(B15,Plants!$A$2:$B$39,2,0)</f>
        <v>Dandenong</v>
      </c>
      <c r="B15" s="7">
        <v>35</v>
      </c>
      <c r="C15" s="8">
        <v>46072</v>
      </c>
      <c r="D15" s="7" t="s">
        <v>236</v>
      </c>
      <c r="E15" s="55" t="s">
        <v>237</v>
      </c>
      <c r="F15" s="7">
        <v>17230</v>
      </c>
      <c r="G15" s="56" t="s">
        <v>245</v>
      </c>
      <c r="H15" s="9">
        <v>330</v>
      </c>
      <c r="I15" s="9">
        <v>0</v>
      </c>
      <c r="J15" s="10">
        <v>0</v>
      </c>
      <c r="K15" s="9">
        <v>330</v>
      </c>
      <c r="L15" s="9">
        <v>0</v>
      </c>
      <c r="M15" s="11">
        <v>28</v>
      </c>
      <c r="N15" s="57">
        <v>9240</v>
      </c>
      <c r="O15" s="8">
        <v>46185</v>
      </c>
      <c r="P15" s="7" t="s">
        <v>10</v>
      </c>
      <c r="Q15" s="58"/>
    </row>
    <row r="16" spans="1:17" x14ac:dyDescent="0.25">
      <c r="A16" s="7" t="str">
        <f>VLOOKUP(B16,Plants!$A$2:$B$39,2,0)</f>
        <v>Dandenong</v>
      </c>
      <c r="B16" s="7">
        <v>35</v>
      </c>
      <c r="C16" s="8">
        <v>46072</v>
      </c>
      <c r="D16" s="7" t="s">
        <v>236</v>
      </c>
      <c r="E16" s="55" t="s">
        <v>237</v>
      </c>
      <c r="F16" s="7">
        <v>17231</v>
      </c>
      <c r="G16" s="56" t="s">
        <v>246</v>
      </c>
      <c r="H16" s="9">
        <v>900</v>
      </c>
      <c r="I16" s="9">
        <v>0</v>
      </c>
      <c r="J16" s="10">
        <v>0</v>
      </c>
      <c r="K16" s="9">
        <v>900</v>
      </c>
      <c r="L16" s="9">
        <v>0</v>
      </c>
      <c r="M16" s="11">
        <v>12.85</v>
      </c>
      <c r="N16" s="57">
        <v>11565</v>
      </c>
      <c r="O16" s="8">
        <v>46185</v>
      </c>
      <c r="P16" s="7" t="s">
        <v>10</v>
      </c>
      <c r="Q16" s="58"/>
    </row>
    <row r="17" spans="1:17" x14ac:dyDescent="0.25">
      <c r="A17" s="7" t="str">
        <f>VLOOKUP(B17,Plants!$A$2:$B$39,2,0)</f>
        <v>Dandenong</v>
      </c>
      <c r="B17" s="7">
        <v>35</v>
      </c>
      <c r="C17" s="8">
        <v>46072</v>
      </c>
      <c r="D17" s="7" t="s">
        <v>236</v>
      </c>
      <c r="E17" s="55" t="s">
        <v>237</v>
      </c>
      <c r="F17" s="7">
        <v>17232</v>
      </c>
      <c r="G17" s="56" t="s">
        <v>247</v>
      </c>
      <c r="H17" s="9">
        <v>425</v>
      </c>
      <c r="I17" s="9">
        <v>0</v>
      </c>
      <c r="J17" s="10">
        <v>0</v>
      </c>
      <c r="K17" s="9">
        <v>425</v>
      </c>
      <c r="L17" s="9">
        <v>0</v>
      </c>
      <c r="M17" s="11">
        <v>28</v>
      </c>
      <c r="N17" s="57">
        <v>11900</v>
      </c>
      <c r="O17" s="8">
        <v>46185</v>
      </c>
      <c r="P17" s="7" t="s">
        <v>10</v>
      </c>
      <c r="Q17" s="58"/>
    </row>
    <row r="18" spans="1:17" x14ac:dyDescent="0.25">
      <c r="A18" s="7" t="str">
        <f>VLOOKUP(B18,Plants!$A$2:$B$39,2,0)</f>
        <v>Dandenong</v>
      </c>
      <c r="B18" s="7">
        <v>35</v>
      </c>
      <c r="C18" s="8">
        <v>46072</v>
      </c>
      <c r="D18" s="7" t="s">
        <v>236</v>
      </c>
      <c r="E18" s="55" t="s">
        <v>237</v>
      </c>
      <c r="F18" s="7">
        <v>17233</v>
      </c>
      <c r="G18" s="56" t="s">
        <v>248</v>
      </c>
      <c r="H18" s="9">
        <v>360</v>
      </c>
      <c r="I18" s="9">
        <v>0</v>
      </c>
      <c r="J18" s="10">
        <v>0</v>
      </c>
      <c r="K18" s="9">
        <v>360</v>
      </c>
      <c r="L18" s="9">
        <v>0</v>
      </c>
      <c r="M18" s="11">
        <v>15</v>
      </c>
      <c r="N18" s="57">
        <v>5400</v>
      </c>
      <c r="O18" s="8">
        <v>46185</v>
      </c>
      <c r="P18" s="7" t="s">
        <v>10</v>
      </c>
      <c r="Q18" s="58"/>
    </row>
    <row r="19" spans="1:17" x14ac:dyDescent="0.25">
      <c r="A19" s="7" t="str">
        <f>VLOOKUP(B19,Plants!$A$2:$B$39,2,0)</f>
        <v>Dandenong</v>
      </c>
      <c r="B19" s="7">
        <v>35</v>
      </c>
      <c r="C19" s="8">
        <v>46072</v>
      </c>
      <c r="D19" s="7" t="s">
        <v>236</v>
      </c>
      <c r="E19" s="55" t="s">
        <v>237</v>
      </c>
      <c r="F19" s="7">
        <v>17471</v>
      </c>
      <c r="G19" s="56" t="s">
        <v>261</v>
      </c>
      <c r="H19" s="9">
        <v>425</v>
      </c>
      <c r="I19" s="9">
        <v>0</v>
      </c>
      <c r="J19" s="10">
        <v>0</v>
      </c>
      <c r="K19" s="9">
        <v>425</v>
      </c>
      <c r="L19" s="9">
        <v>0</v>
      </c>
      <c r="M19" s="11">
        <v>31.5</v>
      </c>
      <c r="N19" s="57">
        <v>13387.5</v>
      </c>
      <c r="O19" s="8">
        <v>46185</v>
      </c>
      <c r="P19" s="7" t="s">
        <v>10</v>
      </c>
      <c r="Q19" s="58"/>
    </row>
    <row r="20" spans="1:17" x14ac:dyDescent="0.25">
      <c r="A20" s="7" t="str">
        <f>VLOOKUP(B20,Plants!$A$2:$B$39,2,0)</f>
        <v>Darra Garments</v>
      </c>
      <c r="B20" s="7">
        <v>42</v>
      </c>
      <c r="C20" s="8">
        <v>46120</v>
      </c>
      <c r="D20" s="7" t="s">
        <v>302</v>
      </c>
      <c r="E20" s="55" t="s">
        <v>303</v>
      </c>
      <c r="F20" s="7">
        <v>5495</v>
      </c>
      <c r="G20" s="56" t="s">
        <v>306</v>
      </c>
      <c r="H20" s="9">
        <v>1080</v>
      </c>
      <c r="I20" s="9">
        <v>360</v>
      </c>
      <c r="J20" s="10">
        <v>0.33333333333333331</v>
      </c>
      <c r="K20" s="9">
        <v>720</v>
      </c>
      <c r="L20" s="9">
        <v>0</v>
      </c>
      <c r="M20" s="11">
        <v>0.75</v>
      </c>
      <c r="N20" s="57">
        <v>540</v>
      </c>
      <c r="O20" s="8">
        <v>46213</v>
      </c>
      <c r="P20" s="7" t="s">
        <v>10</v>
      </c>
      <c r="Q20" s="58"/>
    </row>
    <row r="21" spans="1:17" x14ac:dyDescent="0.25">
      <c r="A21" s="7" t="str">
        <f>VLOOKUP(B21,Plants!$A$2:$B$39,2,0)</f>
        <v>Darra Garments</v>
      </c>
      <c r="B21" s="7">
        <v>42</v>
      </c>
      <c r="C21" s="8">
        <v>46035</v>
      </c>
      <c r="D21" s="7" t="s">
        <v>189</v>
      </c>
      <c r="E21" s="55" t="s">
        <v>190</v>
      </c>
      <c r="F21" s="7">
        <v>13897</v>
      </c>
      <c r="G21" s="56" t="s">
        <v>192</v>
      </c>
      <c r="H21" s="9">
        <v>1199</v>
      </c>
      <c r="I21" s="9">
        <v>799</v>
      </c>
      <c r="J21" s="10">
        <v>0.66638865721434526</v>
      </c>
      <c r="K21" s="9">
        <v>400</v>
      </c>
      <c r="L21" s="9">
        <v>0</v>
      </c>
      <c r="M21" s="11">
        <v>8.26</v>
      </c>
      <c r="N21" s="57">
        <v>3304</v>
      </c>
      <c r="O21" s="8">
        <v>46164</v>
      </c>
      <c r="P21" s="7" t="s">
        <v>10</v>
      </c>
      <c r="Q21" s="58"/>
    </row>
    <row r="22" spans="1:17" x14ac:dyDescent="0.25">
      <c r="A22" s="7" t="str">
        <f>VLOOKUP(B22,Plants!$A$2:$B$39,2,0)</f>
        <v>Darra Garments</v>
      </c>
      <c r="B22" s="7">
        <v>42</v>
      </c>
      <c r="C22" s="8">
        <v>46086</v>
      </c>
      <c r="D22" s="7" t="s">
        <v>258</v>
      </c>
      <c r="E22" s="55" t="s">
        <v>259</v>
      </c>
      <c r="F22" s="7">
        <v>13897</v>
      </c>
      <c r="G22" s="56" t="s">
        <v>192</v>
      </c>
      <c r="H22" s="9">
        <v>200</v>
      </c>
      <c r="I22" s="9">
        <v>0</v>
      </c>
      <c r="J22" s="10">
        <v>0</v>
      </c>
      <c r="K22" s="9">
        <v>200</v>
      </c>
      <c r="L22" s="9">
        <v>0</v>
      </c>
      <c r="M22" s="11">
        <v>8.26</v>
      </c>
      <c r="N22" s="57">
        <v>1652</v>
      </c>
      <c r="O22" s="8">
        <v>46164</v>
      </c>
      <c r="P22" s="7" t="s">
        <v>10</v>
      </c>
      <c r="Q22" s="58"/>
    </row>
    <row r="23" spans="1:17" x14ac:dyDescent="0.25">
      <c r="A23" s="7" t="str">
        <f>VLOOKUP(B23,Plants!$A$2:$B$39,2,0)</f>
        <v>Darra Garments</v>
      </c>
      <c r="B23" s="7">
        <v>42</v>
      </c>
      <c r="C23" s="8">
        <v>46120</v>
      </c>
      <c r="D23" s="7" t="s">
        <v>302</v>
      </c>
      <c r="E23" s="55" t="s">
        <v>303</v>
      </c>
      <c r="F23" s="7">
        <v>13897</v>
      </c>
      <c r="G23" s="56" t="s">
        <v>192</v>
      </c>
      <c r="H23" s="9">
        <v>1000</v>
      </c>
      <c r="I23" s="9">
        <v>0</v>
      </c>
      <c r="J23" s="10">
        <v>0</v>
      </c>
      <c r="K23" s="9">
        <v>1000</v>
      </c>
      <c r="L23" s="9">
        <v>0</v>
      </c>
      <c r="M23" s="11">
        <v>8.26</v>
      </c>
      <c r="N23" s="57">
        <v>8260</v>
      </c>
      <c r="O23" s="8">
        <v>46269</v>
      </c>
      <c r="P23" s="7" t="s">
        <v>10</v>
      </c>
      <c r="Q23" s="58"/>
    </row>
    <row r="24" spans="1:17" x14ac:dyDescent="0.25">
      <c r="A24" s="7" t="str">
        <f>VLOOKUP(B24,Plants!$A$2:$B$39,2,0)</f>
        <v>Darra Garments</v>
      </c>
      <c r="B24" s="7">
        <v>42</v>
      </c>
      <c r="C24" s="8">
        <v>46105</v>
      </c>
      <c r="D24" s="7" t="s">
        <v>296</v>
      </c>
      <c r="E24" s="55" t="s">
        <v>297</v>
      </c>
      <c r="F24" s="7">
        <v>10815090</v>
      </c>
      <c r="G24" s="56" t="s">
        <v>298</v>
      </c>
      <c r="H24" s="9">
        <v>23</v>
      </c>
      <c r="I24" s="9">
        <v>3</v>
      </c>
      <c r="J24" s="10">
        <v>0.13043478260869565</v>
      </c>
      <c r="K24" s="9">
        <v>20</v>
      </c>
      <c r="L24" s="9">
        <v>0</v>
      </c>
      <c r="M24" s="11">
        <v>25.72</v>
      </c>
      <c r="N24" s="57">
        <v>514.4</v>
      </c>
      <c r="O24" s="8">
        <v>46192</v>
      </c>
      <c r="P24" s="7" t="s">
        <v>10</v>
      </c>
      <c r="Q24" s="58"/>
    </row>
    <row r="25" spans="1:17" x14ac:dyDescent="0.25">
      <c r="A25" s="7" t="str">
        <f>VLOOKUP(B25,Plants!$A$2:$B$39,2,0)</f>
        <v>Darra Garments</v>
      </c>
      <c r="B25" s="7">
        <v>42</v>
      </c>
      <c r="C25" s="8">
        <v>46120</v>
      </c>
      <c r="D25" s="7" t="s">
        <v>312</v>
      </c>
      <c r="E25" s="55" t="s">
        <v>313</v>
      </c>
      <c r="F25" s="7">
        <v>10815090</v>
      </c>
      <c r="G25" s="56" t="s">
        <v>298</v>
      </c>
      <c r="H25" s="9">
        <v>2</v>
      </c>
      <c r="I25" s="9">
        <v>0</v>
      </c>
      <c r="J25" s="10">
        <v>0</v>
      </c>
      <c r="K25" s="9">
        <v>2</v>
      </c>
      <c r="L25" s="9">
        <v>0</v>
      </c>
      <c r="M25" s="11">
        <v>25.72</v>
      </c>
      <c r="N25" s="57">
        <v>51.44</v>
      </c>
      <c r="O25" s="8">
        <v>46192</v>
      </c>
      <c r="P25" s="7" t="s">
        <v>10</v>
      </c>
      <c r="Q25" s="58"/>
    </row>
    <row r="26" spans="1:17" x14ac:dyDescent="0.25">
      <c r="A26" s="7" t="str">
        <f>VLOOKUP(B26,Plants!$A$2:$B$39,2,0)</f>
        <v>Darra Garments</v>
      </c>
      <c r="B26" s="7">
        <v>42</v>
      </c>
      <c r="C26" s="8">
        <v>46094</v>
      </c>
      <c r="D26" s="7" t="s">
        <v>272</v>
      </c>
      <c r="E26" s="55" t="s">
        <v>273</v>
      </c>
      <c r="F26" s="7">
        <v>10815095</v>
      </c>
      <c r="G26" s="56" t="s">
        <v>262</v>
      </c>
      <c r="H26" s="9">
        <v>80</v>
      </c>
      <c r="I26" s="9">
        <v>79</v>
      </c>
      <c r="J26" s="10">
        <v>0.98750000000000004</v>
      </c>
      <c r="K26" s="9">
        <v>1</v>
      </c>
      <c r="L26" s="9">
        <v>0</v>
      </c>
      <c r="M26" s="11">
        <v>25.72</v>
      </c>
      <c r="N26" s="57">
        <v>25.72</v>
      </c>
      <c r="O26" s="8">
        <v>46192</v>
      </c>
      <c r="P26" s="7" t="s">
        <v>10</v>
      </c>
      <c r="Q26" s="58"/>
    </row>
    <row r="27" spans="1:17" x14ac:dyDescent="0.25">
      <c r="A27" s="7" t="str">
        <f>VLOOKUP(B27,Plants!$A$2:$B$39,2,0)</f>
        <v>Darra Garments</v>
      </c>
      <c r="B27" s="7">
        <v>42</v>
      </c>
      <c r="C27" s="8">
        <v>46105</v>
      </c>
      <c r="D27" s="7" t="s">
        <v>296</v>
      </c>
      <c r="E27" s="55" t="s">
        <v>297</v>
      </c>
      <c r="F27" s="7">
        <v>10815095</v>
      </c>
      <c r="G27" s="56" t="s">
        <v>262</v>
      </c>
      <c r="H27" s="9">
        <v>25</v>
      </c>
      <c r="I27" s="9">
        <v>0</v>
      </c>
      <c r="J27" s="10">
        <v>0</v>
      </c>
      <c r="K27" s="9">
        <v>25</v>
      </c>
      <c r="L27" s="9">
        <v>0</v>
      </c>
      <c r="M27" s="11">
        <v>25.72</v>
      </c>
      <c r="N27" s="57">
        <v>643</v>
      </c>
      <c r="O27" s="8">
        <v>46192</v>
      </c>
      <c r="P27" s="7" t="s">
        <v>10</v>
      </c>
      <c r="Q27" s="58"/>
    </row>
    <row r="28" spans="1:17" x14ac:dyDescent="0.25">
      <c r="A28" s="7" t="str">
        <f>VLOOKUP(B28,Plants!$A$2:$B$39,2,0)</f>
        <v>Darra Garments</v>
      </c>
      <c r="B28" s="7">
        <v>42</v>
      </c>
      <c r="C28" s="8">
        <v>46120</v>
      </c>
      <c r="D28" s="7" t="s">
        <v>312</v>
      </c>
      <c r="E28" s="55" t="s">
        <v>313</v>
      </c>
      <c r="F28" s="7">
        <v>10815095</v>
      </c>
      <c r="G28" s="56" t="s">
        <v>262</v>
      </c>
      <c r="H28" s="9">
        <v>2</v>
      </c>
      <c r="I28" s="9">
        <v>0</v>
      </c>
      <c r="J28" s="10">
        <v>0</v>
      </c>
      <c r="K28" s="9">
        <v>2</v>
      </c>
      <c r="L28" s="9">
        <v>0</v>
      </c>
      <c r="M28" s="11">
        <v>25.72</v>
      </c>
      <c r="N28" s="57">
        <v>51.44</v>
      </c>
      <c r="O28" s="8">
        <v>46192</v>
      </c>
      <c r="P28" s="7" t="s">
        <v>10</v>
      </c>
      <c r="Q28" s="58"/>
    </row>
    <row r="29" spans="1:17" x14ac:dyDescent="0.25">
      <c r="A29" s="7" t="str">
        <f>VLOOKUP(B29,Plants!$A$2:$B$39,2,0)</f>
        <v>Darra Garments</v>
      </c>
      <c r="B29" s="7">
        <v>42</v>
      </c>
      <c r="C29" s="8">
        <v>46094</v>
      </c>
      <c r="D29" s="7" t="s">
        <v>272</v>
      </c>
      <c r="E29" s="55" t="s">
        <v>273</v>
      </c>
      <c r="F29" s="7">
        <v>10815100</v>
      </c>
      <c r="G29" s="56" t="s">
        <v>274</v>
      </c>
      <c r="H29" s="9">
        <v>120</v>
      </c>
      <c r="I29" s="9">
        <v>42</v>
      </c>
      <c r="J29" s="10">
        <v>0.35</v>
      </c>
      <c r="K29" s="9">
        <v>78</v>
      </c>
      <c r="L29" s="9">
        <v>0</v>
      </c>
      <c r="M29" s="11">
        <v>26.74</v>
      </c>
      <c r="N29" s="57">
        <v>2085.7199999999998</v>
      </c>
      <c r="O29" s="8">
        <v>46192</v>
      </c>
      <c r="P29" s="7" t="s">
        <v>10</v>
      </c>
      <c r="Q29" s="58"/>
    </row>
    <row r="30" spans="1:17" x14ac:dyDescent="0.25">
      <c r="A30" s="7" t="str">
        <f>VLOOKUP(B30,Plants!$A$2:$B$39,2,0)</f>
        <v>Darra Garments</v>
      </c>
      <c r="B30" s="7">
        <v>42</v>
      </c>
      <c r="C30" s="8">
        <v>46105</v>
      </c>
      <c r="D30" s="7" t="s">
        <v>296</v>
      </c>
      <c r="E30" s="55" t="s">
        <v>297</v>
      </c>
      <c r="F30" s="7">
        <v>10815100</v>
      </c>
      <c r="G30" s="56" t="s">
        <v>274</v>
      </c>
      <c r="H30" s="9">
        <v>30</v>
      </c>
      <c r="I30" s="9">
        <v>0</v>
      </c>
      <c r="J30" s="10">
        <v>0</v>
      </c>
      <c r="K30" s="9">
        <v>30</v>
      </c>
      <c r="L30" s="9">
        <v>0</v>
      </c>
      <c r="M30" s="11">
        <v>26.74</v>
      </c>
      <c r="N30" s="57">
        <v>802.19999999999993</v>
      </c>
      <c r="O30" s="8">
        <v>46192</v>
      </c>
      <c r="P30" s="7" t="s">
        <v>10</v>
      </c>
      <c r="Q30" s="12"/>
    </row>
    <row r="31" spans="1:17" x14ac:dyDescent="0.25">
      <c r="A31" s="7" t="str">
        <f>VLOOKUP(B31,Plants!$A$2:$B$39,2,0)</f>
        <v>Darra Garments</v>
      </c>
      <c r="B31" s="7">
        <v>42</v>
      </c>
      <c r="C31" s="8">
        <v>46133</v>
      </c>
      <c r="D31" s="7" t="s">
        <v>338</v>
      </c>
      <c r="E31" s="55" t="s">
        <v>339</v>
      </c>
      <c r="F31" s="7">
        <v>10815100</v>
      </c>
      <c r="G31" s="56" t="s">
        <v>274</v>
      </c>
      <c r="H31" s="9">
        <v>22</v>
      </c>
      <c r="I31" s="9">
        <v>0</v>
      </c>
      <c r="J31" s="10">
        <v>0</v>
      </c>
      <c r="K31" s="9">
        <v>22</v>
      </c>
      <c r="L31" s="9">
        <v>0</v>
      </c>
      <c r="M31" s="11">
        <v>26.74</v>
      </c>
      <c r="N31" s="57">
        <v>588.28</v>
      </c>
      <c r="O31" s="8">
        <v>46248</v>
      </c>
      <c r="P31" s="7" t="s">
        <v>10</v>
      </c>
      <c r="Q31" s="58"/>
    </row>
    <row r="32" spans="1:17" x14ac:dyDescent="0.25">
      <c r="A32" s="7" t="str">
        <f>VLOOKUP(B32,Plants!$A$2:$B$39,2,0)</f>
        <v>Darra Garments</v>
      </c>
      <c r="B32" s="7">
        <v>42</v>
      </c>
      <c r="C32" s="8">
        <v>46094</v>
      </c>
      <c r="D32" s="7" t="s">
        <v>272</v>
      </c>
      <c r="E32" s="55" t="s">
        <v>273</v>
      </c>
      <c r="F32" s="7">
        <v>10815105</v>
      </c>
      <c r="G32" s="56" t="s">
        <v>275</v>
      </c>
      <c r="H32" s="9">
        <v>80</v>
      </c>
      <c r="I32" s="9">
        <v>30</v>
      </c>
      <c r="J32" s="10">
        <v>0.375</v>
      </c>
      <c r="K32" s="9">
        <v>50</v>
      </c>
      <c r="L32" s="9">
        <v>0</v>
      </c>
      <c r="M32" s="11">
        <v>26.74</v>
      </c>
      <c r="N32" s="57">
        <v>1337</v>
      </c>
      <c r="O32" s="8">
        <v>46192</v>
      </c>
      <c r="P32" s="7" t="s">
        <v>10</v>
      </c>
      <c r="Q32" s="58"/>
    </row>
    <row r="33" spans="1:17" x14ac:dyDescent="0.25">
      <c r="A33" s="7" t="str">
        <f>VLOOKUP(B33,Plants!$A$2:$B$39,2,0)</f>
        <v>Darra Garments</v>
      </c>
      <c r="B33" s="7">
        <v>42</v>
      </c>
      <c r="C33" s="8">
        <v>46094</v>
      </c>
      <c r="D33" s="7" t="s">
        <v>272</v>
      </c>
      <c r="E33" s="55" t="s">
        <v>273</v>
      </c>
      <c r="F33" s="7">
        <v>10815110</v>
      </c>
      <c r="G33" s="56" t="s">
        <v>186</v>
      </c>
      <c r="H33" s="9">
        <v>40</v>
      </c>
      <c r="I33" s="9">
        <v>31</v>
      </c>
      <c r="J33" s="10">
        <v>0.77500000000000002</v>
      </c>
      <c r="K33" s="9">
        <v>9</v>
      </c>
      <c r="L33" s="9">
        <v>0</v>
      </c>
      <c r="M33" s="11">
        <v>26.74</v>
      </c>
      <c r="N33" s="57">
        <v>240.66</v>
      </c>
      <c r="O33" s="8">
        <v>46192</v>
      </c>
      <c r="P33" s="7" t="s">
        <v>10</v>
      </c>
      <c r="Q33" s="58"/>
    </row>
    <row r="34" spans="1:17" x14ac:dyDescent="0.25">
      <c r="A34" s="7" t="str">
        <f>VLOOKUP(B34,Plants!$A$2:$B$39,2,0)</f>
        <v>Darra Garments</v>
      </c>
      <c r="B34" s="7">
        <v>42</v>
      </c>
      <c r="C34" s="8">
        <v>46105</v>
      </c>
      <c r="D34" s="7" t="s">
        <v>296</v>
      </c>
      <c r="E34" s="55" t="s">
        <v>297</v>
      </c>
      <c r="F34" s="7">
        <v>10815110</v>
      </c>
      <c r="G34" s="56" t="s">
        <v>186</v>
      </c>
      <c r="H34" s="9">
        <v>4</v>
      </c>
      <c r="I34" s="9">
        <v>0</v>
      </c>
      <c r="J34" s="10">
        <v>0</v>
      </c>
      <c r="K34" s="9">
        <v>4</v>
      </c>
      <c r="L34" s="9">
        <v>0</v>
      </c>
      <c r="M34" s="11">
        <v>26.74</v>
      </c>
      <c r="N34" s="57">
        <v>106.96</v>
      </c>
      <c r="O34" s="8">
        <v>46192</v>
      </c>
      <c r="P34" s="7" t="s">
        <v>10</v>
      </c>
      <c r="Q34" s="58"/>
    </row>
    <row r="35" spans="1:17" x14ac:dyDescent="0.25">
      <c r="A35" s="7" t="str">
        <f>VLOOKUP(B35,Plants!$A$2:$B$39,2,0)</f>
        <v>Darra Garments</v>
      </c>
      <c r="B35" s="7">
        <v>42</v>
      </c>
      <c r="C35" s="8">
        <v>46120</v>
      </c>
      <c r="D35" s="7" t="s">
        <v>312</v>
      </c>
      <c r="E35" s="55" t="s">
        <v>313</v>
      </c>
      <c r="F35" s="7">
        <v>10815110</v>
      </c>
      <c r="G35" s="56" t="s">
        <v>186</v>
      </c>
      <c r="H35" s="9">
        <v>1</v>
      </c>
      <c r="I35" s="9">
        <v>0</v>
      </c>
      <c r="J35" s="10">
        <v>0</v>
      </c>
      <c r="K35" s="9">
        <v>1</v>
      </c>
      <c r="L35" s="9">
        <v>0</v>
      </c>
      <c r="M35" s="11">
        <v>26.74</v>
      </c>
      <c r="N35" s="57">
        <v>26.74</v>
      </c>
      <c r="O35" s="8">
        <v>46192</v>
      </c>
      <c r="P35" s="7" t="s">
        <v>10</v>
      </c>
      <c r="Q35" s="58"/>
    </row>
    <row r="36" spans="1:17" x14ac:dyDescent="0.25">
      <c r="A36" s="7" t="str">
        <f>VLOOKUP(B36,Plants!$A$2:$B$39,2,0)</f>
        <v>Darra Garments</v>
      </c>
      <c r="B36" s="7">
        <v>42</v>
      </c>
      <c r="C36" s="8">
        <v>46105</v>
      </c>
      <c r="D36" s="7" t="s">
        <v>296</v>
      </c>
      <c r="E36" s="55" t="s">
        <v>297</v>
      </c>
      <c r="F36" s="7">
        <v>10815115</v>
      </c>
      <c r="G36" s="56" t="s">
        <v>299</v>
      </c>
      <c r="H36" s="9">
        <v>3</v>
      </c>
      <c r="I36" s="9">
        <v>0</v>
      </c>
      <c r="J36" s="10">
        <v>0</v>
      </c>
      <c r="K36" s="9">
        <v>3</v>
      </c>
      <c r="L36" s="9">
        <v>0</v>
      </c>
      <c r="M36" s="11">
        <v>25.72</v>
      </c>
      <c r="N36" s="57">
        <v>77.16</v>
      </c>
      <c r="O36" s="8">
        <v>46192</v>
      </c>
      <c r="P36" s="7" t="s">
        <v>10</v>
      </c>
      <c r="Q36" s="58"/>
    </row>
    <row r="37" spans="1:17" x14ac:dyDescent="0.25">
      <c r="A37" s="7" t="str">
        <f>VLOOKUP(B37,Plants!$A$2:$B$39,2,0)</f>
        <v>Darra Garments</v>
      </c>
      <c r="B37" s="7">
        <v>42</v>
      </c>
      <c r="C37" s="8">
        <v>46120</v>
      </c>
      <c r="D37" s="7" t="s">
        <v>312</v>
      </c>
      <c r="E37" s="55" t="s">
        <v>313</v>
      </c>
      <c r="F37" s="7">
        <v>10815115</v>
      </c>
      <c r="G37" s="56" t="s">
        <v>299</v>
      </c>
      <c r="H37" s="9">
        <v>1</v>
      </c>
      <c r="I37" s="9">
        <v>0</v>
      </c>
      <c r="J37" s="10">
        <v>0</v>
      </c>
      <c r="K37" s="9">
        <v>1</v>
      </c>
      <c r="L37" s="9">
        <v>0</v>
      </c>
      <c r="M37" s="11">
        <v>25.72</v>
      </c>
      <c r="N37" s="57">
        <v>25.72</v>
      </c>
      <c r="O37" s="8">
        <v>46192</v>
      </c>
      <c r="P37" s="7" t="s">
        <v>10</v>
      </c>
      <c r="Q37" s="58"/>
    </row>
    <row r="38" spans="1:17" x14ac:dyDescent="0.25">
      <c r="A38" s="7" t="str">
        <f>VLOOKUP(B38,Plants!$A$2:$B$39,2,0)</f>
        <v>Darra Linen</v>
      </c>
      <c r="B38" s="7">
        <v>41</v>
      </c>
      <c r="C38" s="8">
        <v>46070</v>
      </c>
      <c r="D38" s="7" t="s">
        <v>232</v>
      </c>
      <c r="E38" s="55" t="s">
        <v>240</v>
      </c>
      <c r="F38" s="7">
        <v>15144</v>
      </c>
      <c r="G38" s="56" t="s">
        <v>241</v>
      </c>
      <c r="H38" s="9">
        <v>300</v>
      </c>
      <c r="I38" s="9">
        <v>0</v>
      </c>
      <c r="J38" s="10">
        <v>0</v>
      </c>
      <c r="K38" s="9">
        <v>300</v>
      </c>
      <c r="L38" s="9">
        <v>0</v>
      </c>
      <c r="M38" s="11">
        <v>6.24</v>
      </c>
      <c r="N38" s="57">
        <v>1872</v>
      </c>
      <c r="O38" s="8">
        <v>46178</v>
      </c>
      <c r="P38" s="7" t="s">
        <v>10</v>
      </c>
      <c r="Q38" s="58"/>
    </row>
    <row r="39" spans="1:17" x14ac:dyDescent="0.25">
      <c r="A39" s="7" t="str">
        <f>VLOOKUP(B39,Plants!$A$2:$B$39,2,0)</f>
        <v>Darra Linen</v>
      </c>
      <c r="B39" s="7">
        <v>41</v>
      </c>
      <c r="C39" s="8">
        <v>46099</v>
      </c>
      <c r="D39" s="7" t="s">
        <v>277</v>
      </c>
      <c r="E39" s="55" t="s">
        <v>278</v>
      </c>
      <c r="F39" s="7">
        <v>15766</v>
      </c>
      <c r="G39" s="56" t="s">
        <v>178</v>
      </c>
      <c r="H39" s="9">
        <v>600</v>
      </c>
      <c r="I39" s="9">
        <v>0</v>
      </c>
      <c r="J39" s="10">
        <v>0</v>
      </c>
      <c r="K39" s="9">
        <v>600</v>
      </c>
      <c r="L39" s="9">
        <v>0</v>
      </c>
      <c r="M39" s="11">
        <v>14.16</v>
      </c>
      <c r="N39" s="57">
        <v>8496</v>
      </c>
      <c r="O39" s="8">
        <v>46171</v>
      </c>
      <c r="P39" s="7" t="s">
        <v>67</v>
      </c>
      <c r="Q39" s="58"/>
    </row>
    <row r="40" spans="1:17" x14ac:dyDescent="0.25">
      <c r="A40" s="7" t="str">
        <f>VLOOKUP(B40,Plants!$A$2:$B$39,2,0)</f>
        <v>Darra Linen</v>
      </c>
      <c r="B40" s="7">
        <v>41</v>
      </c>
      <c r="C40" s="8">
        <v>46127</v>
      </c>
      <c r="D40" s="7" t="s">
        <v>325</v>
      </c>
      <c r="E40" s="55" t="s">
        <v>328</v>
      </c>
      <c r="F40" s="7">
        <v>15766</v>
      </c>
      <c r="G40" s="56" t="s">
        <v>178</v>
      </c>
      <c r="H40" s="9">
        <v>1200</v>
      </c>
      <c r="I40" s="9">
        <v>0</v>
      </c>
      <c r="J40" s="10">
        <v>0</v>
      </c>
      <c r="K40" s="9">
        <v>1200</v>
      </c>
      <c r="L40" s="9">
        <v>0</v>
      </c>
      <c r="M40" s="11">
        <v>14.16</v>
      </c>
      <c r="N40" s="57">
        <v>16992</v>
      </c>
      <c r="O40" s="8">
        <v>46192</v>
      </c>
      <c r="P40" s="7" t="s">
        <v>67</v>
      </c>
      <c r="Q40" s="58"/>
    </row>
    <row r="41" spans="1:17" x14ac:dyDescent="0.25">
      <c r="A41" s="7" t="str">
        <f>VLOOKUP(B41,Plants!$A$2:$B$39,2,0)</f>
        <v>Darra Linen</v>
      </c>
      <c r="B41" s="7">
        <v>41</v>
      </c>
      <c r="C41" s="8">
        <v>46045</v>
      </c>
      <c r="D41" s="7" t="s">
        <v>196</v>
      </c>
      <c r="E41" s="55" t="s">
        <v>197</v>
      </c>
      <c r="F41" s="7">
        <v>16589</v>
      </c>
      <c r="G41" s="56" t="s">
        <v>180</v>
      </c>
      <c r="H41" s="9">
        <v>1500</v>
      </c>
      <c r="I41" s="9">
        <v>1200</v>
      </c>
      <c r="J41" s="10">
        <v>0.8</v>
      </c>
      <c r="K41" s="9">
        <v>300</v>
      </c>
      <c r="L41" s="9">
        <v>0</v>
      </c>
      <c r="M41" s="11">
        <v>14.47</v>
      </c>
      <c r="N41" s="57">
        <v>4341</v>
      </c>
      <c r="O41" s="8">
        <v>46157</v>
      </c>
      <c r="P41" s="7" t="s">
        <v>67</v>
      </c>
      <c r="Q41" s="58"/>
    </row>
    <row r="42" spans="1:17" x14ac:dyDescent="0.25">
      <c r="A42" s="7" t="str">
        <f>VLOOKUP(B42,Plants!$A$2:$B$39,2,0)</f>
        <v>Darra Linen</v>
      </c>
      <c r="B42" s="7">
        <v>41</v>
      </c>
      <c r="C42" s="8">
        <v>46139</v>
      </c>
      <c r="D42" s="7" t="s">
        <v>333</v>
      </c>
      <c r="E42" s="55" t="s">
        <v>334</v>
      </c>
      <c r="F42" s="7">
        <v>16589</v>
      </c>
      <c r="G42" s="56" t="s">
        <v>180</v>
      </c>
      <c r="H42" s="9">
        <v>240</v>
      </c>
      <c r="I42" s="9">
        <v>0</v>
      </c>
      <c r="J42" s="10">
        <v>0</v>
      </c>
      <c r="K42" s="9">
        <v>240</v>
      </c>
      <c r="L42" s="9">
        <v>0</v>
      </c>
      <c r="M42" s="11">
        <v>14.47</v>
      </c>
      <c r="N42" s="57">
        <v>3472.8</v>
      </c>
      <c r="O42" s="8">
        <v>46248</v>
      </c>
      <c r="P42" s="7" t="s">
        <v>67</v>
      </c>
      <c r="Q42" s="58"/>
    </row>
    <row r="43" spans="1:17" x14ac:dyDescent="0.25">
      <c r="A43" s="7" t="str">
        <f>VLOOKUP(B43,Plants!$A$2:$B$39,2,0)</f>
        <v>Murdoch Garments</v>
      </c>
      <c r="B43" s="7">
        <v>61</v>
      </c>
      <c r="C43" s="8">
        <v>46129</v>
      </c>
      <c r="D43" s="7" t="s">
        <v>320</v>
      </c>
      <c r="E43" s="55" t="s">
        <v>321</v>
      </c>
      <c r="F43" s="7">
        <v>17047</v>
      </c>
      <c r="G43" s="56" t="s">
        <v>257</v>
      </c>
      <c r="H43" s="9">
        <v>400</v>
      </c>
      <c r="I43" s="9">
        <v>0</v>
      </c>
      <c r="J43" s="10">
        <v>0</v>
      </c>
      <c r="K43" s="9">
        <v>400</v>
      </c>
      <c r="L43" s="9">
        <v>0</v>
      </c>
      <c r="M43" s="11">
        <v>1.57</v>
      </c>
      <c r="N43" s="57">
        <v>628</v>
      </c>
      <c r="O43" s="8">
        <v>46206</v>
      </c>
      <c r="P43" s="7" t="s">
        <v>67</v>
      </c>
      <c r="Q43" s="12"/>
    </row>
    <row r="44" spans="1:17" x14ac:dyDescent="0.25">
      <c r="A44" s="7" t="str">
        <f>VLOOKUP(B44,Plants!$A$2:$B$39,2,0)</f>
        <v>Murdoch Linen</v>
      </c>
      <c r="B44" s="7">
        <v>77</v>
      </c>
      <c r="C44" s="8">
        <v>46062</v>
      </c>
      <c r="D44" s="7" t="s">
        <v>208</v>
      </c>
      <c r="E44" s="55" t="s">
        <v>209</v>
      </c>
      <c r="F44" s="7">
        <v>10051</v>
      </c>
      <c r="G44" s="56" t="s">
        <v>210</v>
      </c>
      <c r="H44" s="9">
        <v>350</v>
      </c>
      <c r="I44" s="9">
        <v>0</v>
      </c>
      <c r="J44" s="10">
        <v>0</v>
      </c>
      <c r="K44" s="9">
        <v>350</v>
      </c>
      <c r="L44" s="9">
        <v>0</v>
      </c>
      <c r="M44" s="11">
        <v>9.75</v>
      </c>
      <c r="N44" s="57">
        <v>3412.5</v>
      </c>
      <c r="O44" s="8">
        <v>46171</v>
      </c>
      <c r="P44" s="7" t="s">
        <v>10</v>
      </c>
      <c r="Q44" s="58"/>
    </row>
    <row r="45" spans="1:17" x14ac:dyDescent="0.25">
      <c r="A45" s="7" t="str">
        <f>VLOOKUP(B45,Plants!$A$2:$B$39,2,0)</f>
        <v>Murdoch Linen</v>
      </c>
      <c r="B45" s="7">
        <v>77</v>
      </c>
      <c r="C45" s="8">
        <v>46056</v>
      </c>
      <c r="D45" s="7" t="s">
        <v>204</v>
      </c>
      <c r="E45" s="55" t="s">
        <v>205</v>
      </c>
      <c r="F45" s="7">
        <v>13214</v>
      </c>
      <c r="G45" s="56" t="s">
        <v>179</v>
      </c>
      <c r="H45" s="9">
        <v>510</v>
      </c>
      <c r="I45" s="9">
        <v>0</v>
      </c>
      <c r="J45" s="10">
        <v>0</v>
      </c>
      <c r="K45" s="9">
        <v>510</v>
      </c>
      <c r="L45" s="9">
        <v>0</v>
      </c>
      <c r="M45" s="11">
        <v>13.34</v>
      </c>
      <c r="N45" s="57">
        <v>6803.4</v>
      </c>
      <c r="O45" s="8">
        <v>46164</v>
      </c>
      <c r="P45" s="7" t="s">
        <v>10</v>
      </c>
      <c r="Q45" s="58"/>
    </row>
    <row r="46" spans="1:17" x14ac:dyDescent="0.25">
      <c r="A46" s="7" t="str">
        <f>VLOOKUP(B46,Plants!$A$2:$B$39,2,0)</f>
        <v>Murdoch Linen</v>
      </c>
      <c r="B46" s="7">
        <v>77</v>
      </c>
      <c r="C46" s="8">
        <v>46091</v>
      </c>
      <c r="D46" s="7" t="s">
        <v>265</v>
      </c>
      <c r="E46" s="55" t="s">
        <v>266</v>
      </c>
      <c r="F46" s="7">
        <v>13214</v>
      </c>
      <c r="G46" s="56" t="s">
        <v>179</v>
      </c>
      <c r="H46" s="9">
        <v>300</v>
      </c>
      <c r="I46" s="9">
        <v>0</v>
      </c>
      <c r="J46" s="10">
        <v>0</v>
      </c>
      <c r="K46" s="9">
        <v>300</v>
      </c>
      <c r="L46" s="9">
        <v>0</v>
      </c>
      <c r="M46" s="11">
        <v>13.34</v>
      </c>
      <c r="N46" s="57">
        <v>4002</v>
      </c>
      <c r="O46" s="8">
        <v>46171</v>
      </c>
      <c r="P46" s="7" t="s">
        <v>10</v>
      </c>
      <c r="Q46" s="58"/>
    </row>
    <row r="47" spans="1:17" x14ac:dyDescent="0.25">
      <c r="A47" s="7" t="str">
        <f>VLOOKUP(B47,Plants!$A$2:$B$39,2,0)</f>
        <v>Murdoch Linen</v>
      </c>
      <c r="B47" s="7">
        <v>77</v>
      </c>
      <c r="C47" s="8">
        <v>46091</v>
      </c>
      <c r="D47" s="7" t="s">
        <v>267</v>
      </c>
      <c r="E47" s="55" t="s">
        <v>268</v>
      </c>
      <c r="F47" s="7">
        <v>13214</v>
      </c>
      <c r="G47" s="56" t="s">
        <v>179</v>
      </c>
      <c r="H47" s="9">
        <v>600</v>
      </c>
      <c r="I47" s="9">
        <v>0</v>
      </c>
      <c r="J47" s="10">
        <v>0</v>
      </c>
      <c r="K47" s="9">
        <v>600</v>
      </c>
      <c r="L47" s="9">
        <v>0</v>
      </c>
      <c r="M47" s="11">
        <v>13.34</v>
      </c>
      <c r="N47" s="57">
        <v>8004</v>
      </c>
      <c r="O47" s="8">
        <v>46171</v>
      </c>
      <c r="P47" s="7" t="s">
        <v>10</v>
      </c>
      <c r="Q47" s="58"/>
    </row>
    <row r="48" spans="1:17" x14ac:dyDescent="0.25">
      <c r="A48" s="7" t="str">
        <f>VLOOKUP(B48,Plants!$A$2:$B$39,2,0)</f>
        <v>Murdoch Linen</v>
      </c>
      <c r="B48" s="7">
        <v>77</v>
      </c>
      <c r="C48" s="8">
        <v>46076</v>
      </c>
      <c r="D48" s="7" t="s">
        <v>233</v>
      </c>
      <c r="E48" s="55" t="s">
        <v>238</v>
      </c>
      <c r="F48" s="7">
        <v>15081</v>
      </c>
      <c r="G48" s="56" t="s">
        <v>239</v>
      </c>
      <c r="H48" s="9">
        <v>350</v>
      </c>
      <c r="I48" s="9">
        <v>0</v>
      </c>
      <c r="J48" s="10">
        <v>0</v>
      </c>
      <c r="K48" s="9">
        <v>350</v>
      </c>
      <c r="L48" s="9">
        <v>0</v>
      </c>
      <c r="M48" s="11">
        <v>3.54</v>
      </c>
      <c r="N48" s="57">
        <v>1239</v>
      </c>
      <c r="O48" s="8">
        <v>46171</v>
      </c>
      <c r="P48" s="7" t="s">
        <v>10</v>
      </c>
      <c r="Q48" s="58"/>
    </row>
    <row r="49" spans="1:17" x14ac:dyDescent="0.25">
      <c r="A49" s="7" t="str">
        <f>VLOOKUP(B49,Plants!$A$2:$B$39,2,0)</f>
        <v>Murdoch Linen</v>
      </c>
      <c r="B49" s="7">
        <v>77</v>
      </c>
      <c r="C49" s="8">
        <v>46056</v>
      </c>
      <c r="D49" s="7" t="s">
        <v>204</v>
      </c>
      <c r="E49" s="55" t="s">
        <v>205</v>
      </c>
      <c r="F49" s="7">
        <v>15083</v>
      </c>
      <c r="G49" s="56" t="s">
        <v>213</v>
      </c>
      <c r="H49" s="9">
        <v>500</v>
      </c>
      <c r="I49" s="9">
        <v>0</v>
      </c>
      <c r="J49" s="10">
        <v>0</v>
      </c>
      <c r="K49" s="9">
        <v>500</v>
      </c>
      <c r="L49" s="9">
        <v>0</v>
      </c>
      <c r="M49" s="11">
        <v>3.44</v>
      </c>
      <c r="N49" s="57">
        <v>1720</v>
      </c>
      <c r="O49" s="8">
        <v>46164</v>
      </c>
      <c r="P49" s="7" t="s">
        <v>10</v>
      </c>
      <c r="Q49" s="58"/>
    </row>
    <row r="50" spans="1:17" x14ac:dyDescent="0.25">
      <c r="A50" s="7" t="str">
        <f>VLOOKUP(B50,Plants!$A$2:$B$39,2,0)</f>
        <v>Murdoch Linen</v>
      </c>
      <c r="B50" s="7">
        <v>77</v>
      </c>
      <c r="C50" s="8">
        <v>46119</v>
      </c>
      <c r="D50" s="7" t="s">
        <v>307</v>
      </c>
      <c r="E50" s="55" t="s">
        <v>308</v>
      </c>
      <c r="F50" s="7">
        <v>15236</v>
      </c>
      <c r="G50" s="56" t="s">
        <v>309</v>
      </c>
      <c r="H50" s="9">
        <v>1000</v>
      </c>
      <c r="I50" s="9">
        <v>140</v>
      </c>
      <c r="J50" s="10">
        <v>0.14000000000000001</v>
      </c>
      <c r="K50" s="9">
        <v>860</v>
      </c>
      <c r="L50" s="9">
        <v>0</v>
      </c>
      <c r="M50" s="11">
        <v>2.92</v>
      </c>
      <c r="N50" s="57">
        <v>2511.1999999999998</v>
      </c>
      <c r="O50" s="8">
        <v>46227</v>
      </c>
      <c r="P50" s="7" t="s">
        <v>67</v>
      </c>
      <c r="Q50" s="58"/>
    </row>
    <row r="51" spans="1:17" x14ac:dyDescent="0.25">
      <c r="A51" s="7" t="str">
        <f>VLOOKUP(B51,Plants!$A$2:$B$39,2,0)</f>
        <v>Murdoch Linen</v>
      </c>
      <c r="B51" s="7">
        <v>77</v>
      </c>
      <c r="C51" s="8">
        <v>46056</v>
      </c>
      <c r="D51" s="7" t="s">
        <v>204</v>
      </c>
      <c r="E51" s="55" t="s">
        <v>205</v>
      </c>
      <c r="F51" s="7">
        <v>15241</v>
      </c>
      <c r="G51" s="56" t="s">
        <v>214</v>
      </c>
      <c r="H51" s="9">
        <v>350</v>
      </c>
      <c r="I51" s="9">
        <v>0</v>
      </c>
      <c r="J51" s="10">
        <v>0</v>
      </c>
      <c r="K51" s="9">
        <v>350</v>
      </c>
      <c r="L51" s="9">
        <v>0</v>
      </c>
      <c r="M51" s="11">
        <v>5.36</v>
      </c>
      <c r="N51" s="57">
        <v>1876</v>
      </c>
      <c r="O51" s="8">
        <v>46157</v>
      </c>
      <c r="P51" s="7" t="s">
        <v>10</v>
      </c>
      <c r="Q51" s="58"/>
    </row>
    <row r="52" spans="1:17" x14ac:dyDescent="0.25">
      <c r="A52" s="7" t="str">
        <f>VLOOKUP(B52,Plants!$A$2:$B$39,2,0)</f>
        <v>Murdoch Linen</v>
      </c>
      <c r="B52" s="7">
        <v>77</v>
      </c>
      <c r="C52" s="8">
        <v>46056</v>
      </c>
      <c r="D52" s="7" t="s">
        <v>204</v>
      </c>
      <c r="E52" s="55" t="s">
        <v>215</v>
      </c>
      <c r="F52" s="7">
        <v>15247</v>
      </c>
      <c r="G52" s="56" t="s">
        <v>216</v>
      </c>
      <c r="H52" s="9">
        <v>150</v>
      </c>
      <c r="I52" s="9">
        <v>0</v>
      </c>
      <c r="J52" s="10">
        <v>0</v>
      </c>
      <c r="K52" s="9">
        <v>150</v>
      </c>
      <c r="L52" s="9">
        <v>0</v>
      </c>
      <c r="M52" s="11">
        <v>4.13</v>
      </c>
      <c r="N52" s="57">
        <v>619.5</v>
      </c>
      <c r="O52" s="8">
        <v>46171</v>
      </c>
      <c r="P52" s="7" t="s">
        <v>10</v>
      </c>
      <c r="Q52" s="58"/>
    </row>
    <row r="53" spans="1:17" x14ac:dyDescent="0.25">
      <c r="A53" s="7" t="str">
        <f>VLOOKUP(B53,Plants!$A$2:$B$39,2,0)</f>
        <v>Murdoch Linen</v>
      </c>
      <c r="B53" s="7">
        <v>77</v>
      </c>
      <c r="C53" s="8">
        <v>46076</v>
      </c>
      <c r="D53" s="7" t="s">
        <v>233</v>
      </c>
      <c r="E53" s="55" t="s">
        <v>238</v>
      </c>
      <c r="F53" s="7">
        <v>15247</v>
      </c>
      <c r="G53" s="56" t="s">
        <v>216</v>
      </c>
      <c r="H53" s="9">
        <v>500</v>
      </c>
      <c r="I53" s="9">
        <v>0</v>
      </c>
      <c r="J53" s="10">
        <v>0</v>
      </c>
      <c r="K53" s="9">
        <v>500</v>
      </c>
      <c r="L53" s="9">
        <v>0</v>
      </c>
      <c r="M53" s="11">
        <v>4.13</v>
      </c>
      <c r="N53" s="57">
        <v>2065</v>
      </c>
      <c r="O53" s="8">
        <v>46192</v>
      </c>
      <c r="P53" s="7" t="s">
        <v>10</v>
      </c>
      <c r="Q53" s="58"/>
    </row>
    <row r="54" spans="1:17" x14ac:dyDescent="0.25">
      <c r="A54" s="7" t="str">
        <f>VLOOKUP(B54,Plants!$A$2:$B$39,2,0)</f>
        <v>Murdoch Linen</v>
      </c>
      <c r="B54" s="7">
        <v>77</v>
      </c>
      <c r="C54" s="8">
        <v>46056</v>
      </c>
      <c r="D54" s="7" t="s">
        <v>204</v>
      </c>
      <c r="E54" s="55" t="s">
        <v>205</v>
      </c>
      <c r="F54" s="7">
        <v>15251</v>
      </c>
      <c r="G54" s="56" t="s">
        <v>217</v>
      </c>
      <c r="H54" s="9">
        <v>280</v>
      </c>
      <c r="I54" s="9">
        <v>0</v>
      </c>
      <c r="J54" s="10">
        <v>0</v>
      </c>
      <c r="K54" s="9">
        <v>280</v>
      </c>
      <c r="L54" s="9">
        <v>0</v>
      </c>
      <c r="M54" s="11">
        <v>2.35</v>
      </c>
      <c r="N54" s="57">
        <v>658</v>
      </c>
      <c r="O54" s="8">
        <v>46164</v>
      </c>
      <c r="P54" s="7" t="s">
        <v>10</v>
      </c>
      <c r="Q54" s="58"/>
    </row>
    <row r="55" spans="1:17" x14ac:dyDescent="0.25">
      <c r="A55" s="7" t="str">
        <f>VLOOKUP(B55,Plants!$A$2:$B$39,2,0)</f>
        <v>Murdoch Linen</v>
      </c>
      <c r="B55" s="7">
        <v>77</v>
      </c>
      <c r="C55" s="8">
        <v>46076</v>
      </c>
      <c r="D55" s="7" t="s">
        <v>233</v>
      </c>
      <c r="E55" s="55" t="s">
        <v>234</v>
      </c>
      <c r="F55" s="7">
        <v>15251</v>
      </c>
      <c r="G55" s="56" t="s">
        <v>217</v>
      </c>
      <c r="H55" s="9">
        <v>140</v>
      </c>
      <c r="I55" s="9">
        <v>0</v>
      </c>
      <c r="J55" s="10">
        <v>0</v>
      </c>
      <c r="K55" s="9">
        <v>140</v>
      </c>
      <c r="L55" s="9">
        <v>0</v>
      </c>
      <c r="M55" s="11">
        <v>2.35</v>
      </c>
      <c r="N55" s="57">
        <v>329</v>
      </c>
      <c r="O55" s="8">
        <v>46164</v>
      </c>
      <c r="P55" s="7" t="s">
        <v>10</v>
      </c>
      <c r="Q55" s="58"/>
    </row>
    <row r="56" spans="1:17" x14ac:dyDescent="0.25">
      <c r="A56" s="7" t="str">
        <f>VLOOKUP(B56,Plants!$A$2:$B$39,2,0)</f>
        <v>Murdoch Linen</v>
      </c>
      <c r="B56" s="7">
        <v>77</v>
      </c>
      <c r="C56" s="8">
        <v>46056</v>
      </c>
      <c r="D56" s="7" t="s">
        <v>218</v>
      </c>
      <c r="E56" s="55" t="s">
        <v>219</v>
      </c>
      <c r="F56" s="7">
        <v>15266</v>
      </c>
      <c r="G56" s="56" t="s">
        <v>177</v>
      </c>
      <c r="H56" s="9">
        <v>2960</v>
      </c>
      <c r="I56" s="9">
        <v>560</v>
      </c>
      <c r="J56" s="10">
        <v>0.1891891891891892</v>
      </c>
      <c r="K56" s="9">
        <v>2400</v>
      </c>
      <c r="L56" s="9">
        <v>0</v>
      </c>
      <c r="M56" s="11">
        <v>3.22</v>
      </c>
      <c r="N56" s="57">
        <v>7728.0000000000009</v>
      </c>
      <c r="O56" s="8">
        <v>46150</v>
      </c>
      <c r="P56" s="7" t="s">
        <v>67</v>
      </c>
      <c r="Q56" s="58"/>
    </row>
    <row r="57" spans="1:17" x14ac:dyDescent="0.25">
      <c r="A57" s="7" t="str">
        <f>VLOOKUP(B57,Plants!$A$2:$B$39,2,0)</f>
        <v>Murdoch Linen</v>
      </c>
      <c r="B57" s="7">
        <v>77</v>
      </c>
      <c r="C57" s="8">
        <v>46056</v>
      </c>
      <c r="D57" s="7" t="s">
        <v>204</v>
      </c>
      <c r="E57" s="55" t="s">
        <v>205</v>
      </c>
      <c r="F57" s="7">
        <v>15266</v>
      </c>
      <c r="G57" s="56" t="s">
        <v>177</v>
      </c>
      <c r="H57" s="9">
        <v>1600</v>
      </c>
      <c r="I57" s="9">
        <v>0</v>
      </c>
      <c r="J57" s="10">
        <v>0</v>
      </c>
      <c r="K57" s="9">
        <v>1600</v>
      </c>
      <c r="L57" s="9">
        <v>0</v>
      </c>
      <c r="M57" s="11">
        <v>3.22</v>
      </c>
      <c r="N57" s="57">
        <v>5152</v>
      </c>
      <c r="O57" s="8">
        <v>46150</v>
      </c>
      <c r="P57" s="7" t="s">
        <v>67</v>
      </c>
      <c r="Q57" s="58"/>
    </row>
    <row r="58" spans="1:17" x14ac:dyDescent="0.25">
      <c r="A58" s="7" t="str">
        <f>VLOOKUP(B58,Plants!$A$2:$B$39,2,0)</f>
        <v>Murdoch Linen</v>
      </c>
      <c r="B58" s="7">
        <v>77</v>
      </c>
      <c r="C58" s="8">
        <v>46062</v>
      </c>
      <c r="D58" s="7" t="s">
        <v>220</v>
      </c>
      <c r="E58" s="55" t="s">
        <v>221</v>
      </c>
      <c r="F58" s="7">
        <v>15266</v>
      </c>
      <c r="G58" s="56" t="s">
        <v>177</v>
      </c>
      <c r="H58" s="9">
        <v>5200</v>
      </c>
      <c r="I58" s="9">
        <v>0</v>
      </c>
      <c r="J58" s="10">
        <v>0</v>
      </c>
      <c r="K58" s="9">
        <v>5200</v>
      </c>
      <c r="L58" s="9">
        <v>0</v>
      </c>
      <c r="M58" s="11">
        <v>3.22</v>
      </c>
      <c r="N58" s="57">
        <v>16744</v>
      </c>
      <c r="O58" s="8">
        <v>46150</v>
      </c>
      <c r="P58" s="7" t="s">
        <v>67</v>
      </c>
      <c r="Q58" s="58"/>
    </row>
    <row r="59" spans="1:17" x14ac:dyDescent="0.25">
      <c r="A59" s="7" t="str">
        <f>VLOOKUP(B59,Plants!$A$2:$B$39,2,0)</f>
        <v>Murdoch Linen</v>
      </c>
      <c r="B59" s="7">
        <v>77</v>
      </c>
      <c r="C59" s="8">
        <v>46076</v>
      </c>
      <c r="D59" s="7" t="s">
        <v>233</v>
      </c>
      <c r="E59" s="55" t="s">
        <v>234</v>
      </c>
      <c r="F59" s="7">
        <v>15266</v>
      </c>
      <c r="G59" s="56" t="s">
        <v>177</v>
      </c>
      <c r="H59" s="9">
        <v>4000</v>
      </c>
      <c r="I59" s="9">
        <v>0</v>
      </c>
      <c r="J59" s="10">
        <v>0</v>
      </c>
      <c r="K59" s="9">
        <v>4000</v>
      </c>
      <c r="L59" s="9">
        <v>0</v>
      </c>
      <c r="M59" s="11">
        <v>3.22</v>
      </c>
      <c r="N59" s="57">
        <v>12880</v>
      </c>
      <c r="O59" s="8">
        <v>46150</v>
      </c>
      <c r="P59" s="7" t="s">
        <v>67</v>
      </c>
      <c r="Q59" s="58"/>
    </row>
    <row r="60" spans="1:17" x14ac:dyDescent="0.25">
      <c r="A60" s="7" t="str">
        <f>VLOOKUP(B60,Plants!$A$2:$B$39,2,0)</f>
        <v>Murdoch Linen</v>
      </c>
      <c r="B60" s="7">
        <v>77</v>
      </c>
      <c r="C60" s="8">
        <v>46119</v>
      </c>
      <c r="D60" s="7" t="s">
        <v>307</v>
      </c>
      <c r="E60" s="55" t="s">
        <v>308</v>
      </c>
      <c r="F60" s="7">
        <v>15266</v>
      </c>
      <c r="G60" s="56" t="s">
        <v>177</v>
      </c>
      <c r="H60" s="9">
        <v>2000</v>
      </c>
      <c r="I60" s="9">
        <v>0</v>
      </c>
      <c r="J60" s="10">
        <v>0</v>
      </c>
      <c r="K60" s="9">
        <v>2000</v>
      </c>
      <c r="L60" s="9">
        <v>0</v>
      </c>
      <c r="M60" s="11">
        <v>3.22</v>
      </c>
      <c r="N60" s="57">
        <v>6440</v>
      </c>
      <c r="O60" s="8">
        <v>46171</v>
      </c>
      <c r="P60" s="7" t="s">
        <v>67</v>
      </c>
      <c r="Q60" s="58"/>
    </row>
    <row r="61" spans="1:17" x14ac:dyDescent="0.25">
      <c r="A61" s="7" t="str">
        <f>VLOOKUP(B61,Plants!$A$2:$B$39,2,0)</f>
        <v>Murdoch Linen</v>
      </c>
      <c r="B61" s="7">
        <v>77</v>
      </c>
      <c r="C61" s="8">
        <v>46056</v>
      </c>
      <c r="D61" s="7" t="s">
        <v>204</v>
      </c>
      <c r="E61" s="55" t="s">
        <v>215</v>
      </c>
      <c r="F61" s="7">
        <v>15301</v>
      </c>
      <c r="G61" s="56" t="s">
        <v>222</v>
      </c>
      <c r="H61" s="9">
        <v>500</v>
      </c>
      <c r="I61" s="9">
        <v>0</v>
      </c>
      <c r="J61" s="10">
        <v>0</v>
      </c>
      <c r="K61" s="9">
        <v>500</v>
      </c>
      <c r="L61" s="9">
        <v>0</v>
      </c>
      <c r="M61" s="11">
        <v>4.8499999999999996</v>
      </c>
      <c r="N61" s="57">
        <v>2425</v>
      </c>
      <c r="O61" s="8">
        <v>46234</v>
      </c>
      <c r="P61" s="7" t="s">
        <v>10</v>
      </c>
      <c r="Q61" s="58"/>
    </row>
    <row r="62" spans="1:17" x14ac:dyDescent="0.25">
      <c r="A62" s="7" t="str">
        <f>VLOOKUP(B62,Plants!$A$2:$B$39,2,0)</f>
        <v>Murdoch Linen</v>
      </c>
      <c r="B62" s="7">
        <v>77</v>
      </c>
      <c r="C62" s="8">
        <v>46076</v>
      </c>
      <c r="D62" s="7" t="s">
        <v>233</v>
      </c>
      <c r="E62" s="55" t="s">
        <v>238</v>
      </c>
      <c r="F62" s="7">
        <v>15301</v>
      </c>
      <c r="G62" s="56" t="s">
        <v>222</v>
      </c>
      <c r="H62" s="9">
        <v>500</v>
      </c>
      <c r="I62" s="9">
        <v>0</v>
      </c>
      <c r="J62" s="10">
        <v>0</v>
      </c>
      <c r="K62" s="9">
        <v>500</v>
      </c>
      <c r="L62" s="9">
        <v>0</v>
      </c>
      <c r="M62" s="11">
        <v>4.8499999999999996</v>
      </c>
      <c r="N62" s="57">
        <v>2425</v>
      </c>
      <c r="O62" s="8">
        <v>46234</v>
      </c>
      <c r="P62" s="7" t="s">
        <v>10</v>
      </c>
      <c r="Q62" s="12"/>
    </row>
    <row r="63" spans="1:17" x14ac:dyDescent="0.25">
      <c r="A63" s="7" t="str">
        <f>VLOOKUP(B63,Plants!$A$2:$B$39,2,0)</f>
        <v>Murdoch Linen</v>
      </c>
      <c r="B63" s="7">
        <v>77</v>
      </c>
      <c r="C63" s="8">
        <v>46119</v>
      </c>
      <c r="D63" s="7" t="s">
        <v>307</v>
      </c>
      <c r="E63" s="55" t="s">
        <v>308</v>
      </c>
      <c r="F63" s="7">
        <v>15301</v>
      </c>
      <c r="G63" s="56" t="s">
        <v>222</v>
      </c>
      <c r="H63" s="9">
        <v>500</v>
      </c>
      <c r="I63" s="9">
        <v>0</v>
      </c>
      <c r="J63" s="10">
        <v>0</v>
      </c>
      <c r="K63" s="9">
        <v>500</v>
      </c>
      <c r="L63" s="9">
        <v>0</v>
      </c>
      <c r="M63" s="11">
        <v>4.8499999999999996</v>
      </c>
      <c r="N63" s="57">
        <v>2425</v>
      </c>
      <c r="O63" s="8">
        <v>46234</v>
      </c>
      <c r="P63" s="7" t="s">
        <v>10</v>
      </c>
      <c r="Q63" s="58"/>
    </row>
    <row r="64" spans="1:17" x14ac:dyDescent="0.25">
      <c r="A64" s="7" t="str">
        <f>VLOOKUP(B64,Plants!$A$2:$B$39,2,0)</f>
        <v>Murdoch Linen</v>
      </c>
      <c r="B64" s="7">
        <v>77</v>
      </c>
      <c r="C64" s="8">
        <v>46091</v>
      </c>
      <c r="D64" s="7" t="s">
        <v>265</v>
      </c>
      <c r="E64" s="55" t="s">
        <v>266</v>
      </c>
      <c r="F64" s="7">
        <v>15572</v>
      </c>
      <c r="G64" s="56" t="s">
        <v>269</v>
      </c>
      <c r="H64" s="9">
        <v>60</v>
      </c>
      <c r="I64" s="9">
        <v>0</v>
      </c>
      <c r="J64" s="10">
        <v>0</v>
      </c>
      <c r="K64" s="9">
        <v>60</v>
      </c>
      <c r="L64" s="9">
        <v>0</v>
      </c>
      <c r="M64" s="11">
        <v>19.27</v>
      </c>
      <c r="N64" s="57">
        <v>1156.2</v>
      </c>
      <c r="O64" s="8">
        <v>46192</v>
      </c>
      <c r="P64" s="7" t="s">
        <v>10</v>
      </c>
      <c r="Q64" s="58"/>
    </row>
    <row r="65" spans="1:17" x14ac:dyDescent="0.25">
      <c r="A65" s="7" t="str">
        <f>VLOOKUP(B65,Plants!$A$2:$B$39,2,0)</f>
        <v>Murdoch Linen</v>
      </c>
      <c r="B65" s="7">
        <v>77</v>
      </c>
      <c r="C65" s="8">
        <v>46036</v>
      </c>
      <c r="D65" s="7" t="s">
        <v>193</v>
      </c>
      <c r="E65" s="55" t="s">
        <v>194</v>
      </c>
      <c r="F65" s="7">
        <v>15766</v>
      </c>
      <c r="G65" s="56" t="s">
        <v>178</v>
      </c>
      <c r="H65" s="9">
        <v>5100</v>
      </c>
      <c r="I65" s="9">
        <v>4650</v>
      </c>
      <c r="J65" s="10">
        <v>0.91176470588235292</v>
      </c>
      <c r="K65" s="9">
        <v>450</v>
      </c>
      <c r="L65" s="9">
        <v>0</v>
      </c>
      <c r="M65" s="11">
        <v>14.16</v>
      </c>
      <c r="N65" s="57">
        <v>6372</v>
      </c>
      <c r="O65" s="8">
        <v>46164</v>
      </c>
      <c r="P65" s="7" t="s">
        <v>67</v>
      </c>
      <c r="Q65" s="58"/>
    </row>
    <row r="66" spans="1:17" x14ac:dyDescent="0.25">
      <c r="A66" s="7" t="str">
        <f>VLOOKUP(B66,Plants!$A$2:$B$39,2,0)</f>
        <v>Murdoch Linen</v>
      </c>
      <c r="B66" s="7">
        <v>77</v>
      </c>
      <c r="C66" s="8">
        <v>46051</v>
      </c>
      <c r="D66" s="7" t="s">
        <v>202</v>
      </c>
      <c r="E66" s="55" t="s">
        <v>203</v>
      </c>
      <c r="F66" s="7">
        <v>15766</v>
      </c>
      <c r="G66" s="56" t="s">
        <v>178</v>
      </c>
      <c r="H66" s="9">
        <v>6000</v>
      </c>
      <c r="I66" s="9">
        <v>5160</v>
      </c>
      <c r="J66" s="10">
        <v>0.86</v>
      </c>
      <c r="K66" s="9">
        <v>840</v>
      </c>
      <c r="L66" s="9">
        <v>0</v>
      </c>
      <c r="M66" s="11">
        <v>14.16</v>
      </c>
      <c r="N66" s="57">
        <v>11894.4</v>
      </c>
      <c r="O66" s="8">
        <v>46164</v>
      </c>
      <c r="P66" s="7" t="s">
        <v>67</v>
      </c>
      <c r="Q66" s="12"/>
    </row>
    <row r="67" spans="1:17" x14ac:dyDescent="0.25">
      <c r="A67" s="7" t="str">
        <f>VLOOKUP(B67,Plants!$A$2:$B$39,2,0)</f>
        <v>Murdoch Linen</v>
      </c>
      <c r="B67" s="7">
        <v>77</v>
      </c>
      <c r="C67" s="8">
        <v>46056</v>
      </c>
      <c r="D67" s="7" t="s">
        <v>204</v>
      </c>
      <c r="E67" s="55" t="s">
        <v>205</v>
      </c>
      <c r="F67" s="7">
        <v>15766</v>
      </c>
      <c r="G67" s="56" t="s">
        <v>178</v>
      </c>
      <c r="H67" s="9">
        <v>2010</v>
      </c>
      <c r="I67" s="9">
        <v>0</v>
      </c>
      <c r="J67" s="10">
        <v>0</v>
      </c>
      <c r="K67" s="9">
        <v>2010</v>
      </c>
      <c r="L67" s="9">
        <v>0</v>
      </c>
      <c r="M67" s="11">
        <v>14.16</v>
      </c>
      <c r="N67" s="57">
        <v>28461.599999999999</v>
      </c>
      <c r="O67" s="8">
        <v>46164</v>
      </c>
      <c r="P67" s="7" t="s">
        <v>67</v>
      </c>
      <c r="Q67" s="58"/>
    </row>
    <row r="68" spans="1:17" x14ac:dyDescent="0.25">
      <c r="A68" s="7" t="str">
        <f>VLOOKUP(B68,Plants!$A$2:$B$39,2,0)</f>
        <v>Murdoch Linen</v>
      </c>
      <c r="B68" s="7">
        <v>77</v>
      </c>
      <c r="C68" s="8">
        <v>46076</v>
      </c>
      <c r="D68" s="7" t="s">
        <v>233</v>
      </c>
      <c r="E68" s="55" t="s">
        <v>238</v>
      </c>
      <c r="F68" s="7">
        <v>15766</v>
      </c>
      <c r="G68" s="56" t="s">
        <v>178</v>
      </c>
      <c r="H68" s="9">
        <v>990</v>
      </c>
      <c r="I68" s="9">
        <v>0</v>
      </c>
      <c r="J68" s="10">
        <v>0</v>
      </c>
      <c r="K68" s="9">
        <v>990</v>
      </c>
      <c r="L68" s="9">
        <v>0</v>
      </c>
      <c r="M68" s="11">
        <v>14.16</v>
      </c>
      <c r="N68" s="57">
        <v>14018.4</v>
      </c>
      <c r="O68" s="8">
        <v>46164</v>
      </c>
      <c r="P68" s="7" t="s">
        <v>67</v>
      </c>
      <c r="Q68" s="58"/>
    </row>
    <row r="69" spans="1:17" x14ac:dyDescent="0.25">
      <c r="A69" s="7" t="str">
        <f>VLOOKUP(B69,Plants!$A$2:$B$39,2,0)</f>
        <v>Murdoch Linen</v>
      </c>
      <c r="B69" s="7">
        <v>77</v>
      </c>
      <c r="C69" s="8">
        <v>46091</v>
      </c>
      <c r="D69" s="7" t="s">
        <v>265</v>
      </c>
      <c r="E69" s="55" t="s">
        <v>266</v>
      </c>
      <c r="F69" s="7">
        <v>15766</v>
      </c>
      <c r="G69" s="56" t="s">
        <v>178</v>
      </c>
      <c r="H69" s="9">
        <v>420</v>
      </c>
      <c r="I69" s="9">
        <v>0</v>
      </c>
      <c r="J69" s="10">
        <v>0</v>
      </c>
      <c r="K69" s="9">
        <v>420</v>
      </c>
      <c r="L69" s="9">
        <v>0</v>
      </c>
      <c r="M69" s="11">
        <v>14.16</v>
      </c>
      <c r="N69" s="57">
        <v>5947.2</v>
      </c>
      <c r="O69" s="8">
        <v>46171</v>
      </c>
      <c r="P69" s="7" t="s">
        <v>67</v>
      </c>
      <c r="Q69" s="58"/>
    </row>
    <row r="70" spans="1:17" x14ac:dyDescent="0.25">
      <c r="A70" s="7" t="str">
        <f>VLOOKUP(B70,Plants!$A$2:$B$39,2,0)</f>
        <v>Murdoch Linen</v>
      </c>
      <c r="B70" s="7">
        <v>77</v>
      </c>
      <c r="C70" s="8">
        <v>46091</v>
      </c>
      <c r="D70" s="7" t="s">
        <v>267</v>
      </c>
      <c r="E70" s="55" t="s">
        <v>268</v>
      </c>
      <c r="F70" s="7">
        <v>15766</v>
      </c>
      <c r="G70" s="56" t="s">
        <v>178</v>
      </c>
      <c r="H70" s="9">
        <v>420</v>
      </c>
      <c r="I70" s="9">
        <v>0</v>
      </c>
      <c r="J70" s="10">
        <v>0</v>
      </c>
      <c r="K70" s="9">
        <v>420</v>
      </c>
      <c r="L70" s="9">
        <v>0</v>
      </c>
      <c r="M70" s="11">
        <v>14.16</v>
      </c>
      <c r="N70" s="57">
        <v>5947.2</v>
      </c>
      <c r="O70" s="8">
        <v>46171</v>
      </c>
      <c r="P70" s="7" t="s">
        <v>67</v>
      </c>
      <c r="Q70" s="58"/>
    </row>
    <row r="71" spans="1:17" x14ac:dyDescent="0.25">
      <c r="A71" s="7" t="str">
        <f>VLOOKUP(B71,Plants!$A$2:$B$39,2,0)</f>
        <v>Murdoch Linen</v>
      </c>
      <c r="B71" s="7">
        <v>77</v>
      </c>
      <c r="C71" s="8">
        <v>46119</v>
      </c>
      <c r="D71" s="7" t="s">
        <v>307</v>
      </c>
      <c r="E71" s="55" t="s">
        <v>310</v>
      </c>
      <c r="F71" s="7">
        <v>15766</v>
      </c>
      <c r="G71" s="56" t="s">
        <v>178</v>
      </c>
      <c r="H71" s="9">
        <v>990</v>
      </c>
      <c r="I71" s="9">
        <v>0</v>
      </c>
      <c r="J71" s="10">
        <v>0</v>
      </c>
      <c r="K71" s="9">
        <v>990</v>
      </c>
      <c r="L71" s="9">
        <v>0</v>
      </c>
      <c r="M71" s="11">
        <v>14.16</v>
      </c>
      <c r="N71" s="57">
        <v>14018.4</v>
      </c>
      <c r="O71" s="8">
        <v>46171</v>
      </c>
      <c r="P71" s="7" t="s">
        <v>67</v>
      </c>
      <c r="Q71" s="58"/>
    </row>
    <row r="72" spans="1:17" x14ac:dyDescent="0.25">
      <c r="A72" s="7" t="str">
        <f>VLOOKUP(B72,Plants!$A$2:$B$39,2,0)</f>
        <v>Murdoch Linen</v>
      </c>
      <c r="B72" s="7">
        <v>77</v>
      </c>
      <c r="C72" s="8">
        <v>46119</v>
      </c>
      <c r="D72" s="7" t="s">
        <v>307</v>
      </c>
      <c r="E72" s="55" t="s">
        <v>310</v>
      </c>
      <c r="F72" s="7">
        <v>16033</v>
      </c>
      <c r="G72" s="56" t="s">
        <v>311</v>
      </c>
      <c r="H72" s="9">
        <v>200</v>
      </c>
      <c r="I72" s="9">
        <v>0</v>
      </c>
      <c r="J72" s="10">
        <v>0</v>
      </c>
      <c r="K72" s="9">
        <v>200</v>
      </c>
      <c r="L72" s="9">
        <v>0</v>
      </c>
      <c r="M72" s="11">
        <v>7.18</v>
      </c>
      <c r="N72" s="57">
        <v>1436</v>
      </c>
      <c r="O72" s="8">
        <v>46171</v>
      </c>
      <c r="P72" s="7" t="s">
        <v>10</v>
      </c>
      <c r="Q72" s="58"/>
    </row>
    <row r="73" spans="1:17" x14ac:dyDescent="0.25">
      <c r="A73" s="7" t="str">
        <f>VLOOKUP(B73,Plants!$A$2:$B$39,2,0)</f>
        <v>Murdoch Linen</v>
      </c>
      <c r="B73" s="7">
        <v>77</v>
      </c>
      <c r="C73" s="8">
        <v>46056</v>
      </c>
      <c r="D73" s="7" t="s">
        <v>204</v>
      </c>
      <c r="E73" s="55" t="s">
        <v>205</v>
      </c>
      <c r="F73" s="7">
        <v>16035</v>
      </c>
      <c r="G73" s="56" t="s">
        <v>223</v>
      </c>
      <c r="H73" s="9">
        <v>300</v>
      </c>
      <c r="I73" s="9">
        <v>120</v>
      </c>
      <c r="J73" s="10">
        <v>0.4</v>
      </c>
      <c r="K73" s="9">
        <v>180</v>
      </c>
      <c r="L73" s="9">
        <v>0</v>
      </c>
      <c r="M73" s="11">
        <v>21.52</v>
      </c>
      <c r="N73" s="57">
        <v>3873.6</v>
      </c>
      <c r="O73" s="8">
        <v>46164</v>
      </c>
      <c r="P73" s="7" t="s">
        <v>10</v>
      </c>
      <c r="Q73" s="58"/>
    </row>
    <row r="74" spans="1:17" x14ac:dyDescent="0.25">
      <c r="A74" s="7" t="str">
        <f>VLOOKUP(B74,Plants!$A$2:$B$39,2,0)</f>
        <v>Murdoch Linen</v>
      </c>
      <c r="B74" s="7">
        <v>77</v>
      </c>
      <c r="C74" s="8">
        <v>46076</v>
      </c>
      <c r="D74" s="7" t="s">
        <v>233</v>
      </c>
      <c r="E74" s="55" t="s">
        <v>234</v>
      </c>
      <c r="F74" s="7">
        <v>16035</v>
      </c>
      <c r="G74" s="56" t="s">
        <v>223</v>
      </c>
      <c r="H74" s="9">
        <v>300</v>
      </c>
      <c r="I74" s="9">
        <v>0</v>
      </c>
      <c r="J74" s="10">
        <v>0</v>
      </c>
      <c r="K74" s="9">
        <v>300</v>
      </c>
      <c r="L74" s="9">
        <v>0</v>
      </c>
      <c r="M74" s="11">
        <v>21.52</v>
      </c>
      <c r="N74" s="57">
        <v>6456</v>
      </c>
      <c r="O74" s="8">
        <v>46178</v>
      </c>
      <c r="P74" s="7" t="s">
        <v>10</v>
      </c>
      <c r="Q74" s="58"/>
    </row>
    <row r="75" spans="1:17" x14ac:dyDescent="0.25">
      <c r="A75" s="7" t="str">
        <f>VLOOKUP(B75,Plants!$A$2:$B$39,2,0)</f>
        <v>Murdoch Linen</v>
      </c>
      <c r="B75" s="7">
        <v>77</v>
      </c>
      <c r="C75" s="8">
        <v>46091</v>
      </c>
      <c r="D75" s="7" t="s">
        <v>267</v>
      </c>
      <c r="E75" s="55" t="s">
        <v>268</v>
      </c>
      <c r="F75" s="7">
        <v>16035</v>
      </c>
      <c r="G75" s="56" t="s">
        <v>223</v>
      </c>
      <c r="H75" s="9">
        <v>150</v>
      </c>
      <c r="I75" s="9">
        <v>0</v>
      </c>
      <c r="J75" s="10">
        <v>0</v>
      </c>
      <c r="K75" s="9">
        <v>150</v>
      </c>
      <c r="L75" s="9">
        <v>0</v>
      </c>
      <c r="M75" s="11">
        <v>21.52</v>
      </c>
      <c r="N75" s="57">
        <v>3228</v>
      </c>
      <c r="O75" s="8">
        <v>46192</v>
      </c>
      <c r="P75" s="7" t="s">
        <v>10</v>
      </c>
      <c r="Q75" s="12"/>
    </row>
    <row r="76" spans="1:17" x14ac:dyDescent="0.25">
      <c r="A76" s="7" t="str">
        <f>VLOOKUP(B76,Plants!$A$2:$B$39,2,0)</f>
        <v>Murdoch Linen</v>
      </c>
      <c r="B76" s="7">
        <v>77</v>
      </c>
      <c r="C76" s="8">
        <v>46119</v>
      </c>
      <c r="D76" s="7" t="s">
        <v>307</v>
      </c>
      <c r="E76" s="55" t="s">
        <v>310</v>
      </c>
      <c r="F76" s="7">
        <v>16035</v>
      </c>
      <c r="G76" s="56" t="s">
        <v>223</v>
      </c>
      <c r="H76" s="9">
        <v>300</v>
      </c>
      <c r="I76" s="9">
        <v>0</v>
      </c>
      <c r="J76" s="10">
        <v>0</v>
      </c>
      <c r="K76" s="9">
        <v>300</v>
      </c>
      <c r="L76" s="9">
        <v>0</v>
      </c>
      <c r="M76" s="11">
        <v>21.52</v>
      </c>
      <c r="N76" s="57">
        <v>6456</v>
      </c>
      <c r="O76" s="8">
        <v>46227</v>
      </c>
      <c r="P76" s="7" t="s">
        <v>10</v>
      </c>
      <c r="Q76" s="58"/>
    </row>
    <row r="77" spans="1:17" x14ac:dyDescent="0.25">
      <c r="A77" s="7" t="str">
        <f>VLOOKUP(B77,Plants!$A$2:$B$39,2,0)</f>
        <v>Murdoch Linen</v>
      </c>
      <c r="B77" s="7">
        <v>77</v>
      </c>
      <c r="C77" s="8">
        <v>46076</v>
      </c>
      <c r="D77" s="7" t="s">
        <v>233</v>
      </c>
      <c r="E77" s="55" t="s">
        <v>234</v>
      </c>
      <c r="F77" s="7">
        <v>16039</v>
      </c>
      <c r="G77" s="56" t="s">
        <v>242</v>
      </c>
      <c r="H77" s="9">
        <v>700</v>
      </c>
      <c r="I77" s="9">
        <v>210</v>
      </c>
      <c r="J77" s="10">
        <v>0.3</v>
      </c>
      <c r="K77" s="9">
        <v>490</v>
      </c>
      <c r="L77" s="9">
        <v>0</v>
      </c>
      <c r="M77" s="11">
        <v>4.1500000000000004</v>
      </c>
      <c r="N77" s="57">
        <v>2033.5000000000002</v>
      </c>
      <c r="O77" s="8">
        <v>46164</v>
      </c>
      <c r="P77" s="7" t="s">
        <v>10</v>
      </c>
      <c r="Q77" s="58"/>
    </row>
    <row r="78" spans="1:17" x14ac:dyDescent="0.25">
      <c r="A78" s="7" t="str">
        <f>VLOOKUP(B78,Plants!$A$2:$B$39,2,0)</f>
        <v>Murdoch Linen</v>
      </c>
      <c r="B78" s="7">
        <v>77</v>
      </c>
      <c r="C78" s="8">
        <v>46076</v>
      </c>
      <c r="D78" s="7" t="s">
        <v>233</v>
      </c>
      <c r="E78" s="55" t="s">
        <v>238</v>
      </c>
      <c r="F78" s="7">
        <v>16040</v>
      </c>
      <c r="G78" s="56" t="s">
        <v>243</v>
      </c>
      <c r="H78" s="9">
        <v>350</v>
      </c>
      <c r="I78" s="9">
        <v>140</v>
      </c>
      <c r="J78" s="10">
        <v>0.4</v>
      </c>
      <c r="K78" s="9">
        <v>210</v>
      </c>
      <c r="L78" s="9">
        <v>0</v>
      </c>
      <c r="M78" s="11">
        <v>6.43</v>
      </c>
      <c r="N78" s="57">
        <v>1350.3</v>
      </c>
      <c r="O78" s="8">
        <v>46171</v>
      </c>
      <c r="P78" s="7" t="s">
        <v>10</v>
      </c>
      <c r="Q78" s="58"/>
    </row>
    <row r="79" spans="1:17" x14ac:dyDescent="0.25">
      <c r="A79" s="7" t="str">
        <f>VLOOKUP(B79,Plants!$A$2:$B$39,2,0)</f>
        <v>Murdoch Linen</v>
      </c>
      <c r="B79" s="7">
        <v>77</v>
      </c>
      <c r="C79" s="8">
        <v>46056</v>
      </c>
      <c r="D79" s="7" t="s">
        <v>204</v>
      </c>
      <c r="E79" s="55" t="s">
        <v>215</v>
      </c>
      <c r="F79" s="7">
        <v>16041</v>
      </c>
      <c r="G79" s="56" t="s">
        <v>224</v>
      </c>
      <c r="H79" s="9">
        <v>250</v>
      </c>
      <c r="I79" s="9">
        <v>0</v>
      </c>
      <c r="J79" s="10">
        <v>0</v>
      </c>
      <c r="K79" s="9">
        <v>250</v>
      </c>
      <c r="L79" s="9">
        <v>0</v>
      </c>
      <c r="M79" s="11">
        <v>5.89</v>
      </c>
      <c r="N79" s="57">
        <v>1472.5</v>
      </c>
      <c r="O79" s="8">
        <v>46171</v>
      </c>
      <c r="P79" s="7" t="s">
        <v>10</v>
      </c>
      <c r="Q79" s="58"/>
    </row>
    <row r="80" spans="1:17" x14ac:dyDescent="0.25">
      <c r="A80" s="7" t="str">
        <f>VLOOKUP(B80,Plants!$A$2:$B$39,2,0)</f>
        <v>Murdoch Linen</v>
      </c>
      <c r="B80" s="7">
        <v>77</v>
      </c>
      <c r="C80" s="8">
        <v>46076</v>
      </c>
      <c r="D80" s="7" t="s">
        <v>233</v>
      </c>
      <c r="E80" s="55" t="s">
        <v>238</v>
      </c>
      <c r="F80" s="7">
        <v>16041</v>
      </c>
      <c r="G80" s="56" t="s">
        <v>224</v>
      </c>
      <c r="H80" s="9">
        <v>250</v>
      </c>
      <c r="I80" s="9">
        <v>0</v>
      </c>
      <c r="J80" s="10">
        <v>0</v>
      </c>
      <c r="K80" s="9">
        <v>250</v>
      </c>
      <c r="L80" s="9">
        <v>0</v>
      </c>
      <c r="M80" s="11">
        <v>5.89</v>
      </c>
      <c r="N80" s="57">
        <v>1472.5</v>
      </c>
      <c r="O80" s="8">
        <v>46171</v>
      </c>
      <c r="P80" s="7" t="s">
        <v>10</v>
      </c>
      <c r="Q80" s="58"/>
    </row>
    <row r="81" spans="1:17" x14ac:dyDescent="0.25">
      <c r="A81" s="7" t="str">
        <f>VLOOKUP(B81,Plants!$A$2:$B$39,2,0)</f>
        <v>Murdoch Linen</v>
      </c>
      <c r="B81" s="7">
        <v>77</v>
      </c>
      <c r="C81" s="8">
        <v>46084</v>
      </c>
      <c r="D81" s="7" t="s">
        <v>225</v>
      </c>
      <c r="E81" s="55" t="s">
        <v>260</v>
      </c>
      <c r="F81" s="7">
        <v>16041</v>
      </c>
      <c r="G81" s="56" t="s">
        <v>224</v>
      </c>
      <c r="H81" s="9">
        <v>50</v>
      </c>
      <c r="I81" s="9">
        <v>0</v>
      </c>
      <c r="J81" s="10">
        <v>0</v>
      </c>
      <c r="K81" s="9">
        <v>50</v>
      </c>
      <c r="L81" s="9">
        <v>0</v>
      </c>
      <c r="M81" s="11">
        <v>5.89</v>
      </c>
      <c r="N81" s="57">
        <v>294.5</v>
      </c>
      <c r="O81" s="8">
        <v>46178</v>
      </c>
      <c r="P81" s="7" t="s">
        <v>10</v>
      </c>
      <c r="Q81" s="58"/>
    </row>
    <row r="82" spans="1:17" x14ac:dyDescent="0.25">
      <c r="A82" s="7" t="str">
        <f>VLOOKUP(B82,Plants!$A$2:$B$39,2,0)</f>
        <v>Murdoch Linen</v>
      </c>
      <c r="B82" s="7">
        <v>77</v>
      </c>
      <c r="C82" s="8">
        <v>46063</v>
      </c>
      <c r="D82" s="7" t="s">
        <v>225</v>
      </c>
      <c r="E82" s="55" t="s">
        <v>226</v>
      </c>
      <c r="F82" s="7">
        <v>16042</v>
      </c>
      <c r="G82" s="56" t="s">
        <v>227</v>
      </c>
      <c r="H82" s="9">
        <v>60</v>
      </c>
      <c r="I82" s="9">
        <v>0</v>
      </c>
      <c r="J82" s="10">
        <v>0</v>
      </c>
      <c r="K82" s="9">
        <v>60</v>
      </c>
      <c r="L82" s="9">
        <v>0</v>
      </c>
      <c r="M82" s="11">
        <v>3.09</v>
      </c>
      <c r="N82" s="57">
        <v>185.39999999999998</v>
      </c>
      <c r="O82" s="8">
        <v>46171</v>
      </c>
      <c r="P82" s="7" t="s">
        <v>10</v>
      </c>
      <c r="Q82" s="58"/>
    </row>
    <row r="83" spans="1:17" x14ac:dyDescent="0.25">
      <c r="A83" s="7" t="str">
        <f>VLOOKUP(B83,Plants!$A$2:$B$39,2,0)</f>
        <v>Murdoch Linen</v>
      </c>
      <c r="B83" s="7">
        <v>77</v>
      </c>
      <c r="C83" s="8">
        <v>46076</v>
      </c>
      <c r="D83" s="7" t="s">
        <v>233</v>
      </c>
      <c r="E83" s="55" t="s">
        <v>238</v>
      </c>
      <c r="F83" s="7">
        <v>16042</v>
      </c>
      <c r="G83" s="56" t="s">
        <v>227</v>
      </c>
      <c r="H83" s="9">
        <v>300</v>
      </c>
      <c r="I83" s="9">
        <v>0</v>
      </c>
      <c r="J83" s="10">
        <v>0</v>
      </c>
      <c r="K83" s="9">
        <v>300</v>
      </c>
      <c r="L83" s="9">
        <v>0</v>
      </c>
      <c r="M83" s="11">
        <v>3.09</v>
      </c>
      <c r="N83" s="57">
        <v>927</v>
      </c>
      <c r="O83" s="8">
        <v>46171</v>
      </c>
      <c r="P83" s="7" t="s">
        <v>10</v>
      </c>
      <c r="Q83" s="58"/>
    </row>
    <row r="84" spans="1:17" x14ac:dyDescent="0.25">
      <c r="A84" s="7" t="str">
        <f>VLOOKUP(B84,Plants!$A$2:$B$39,2,0)</f>
        <v>Murdoch Linen</v>
      </c>
      <c r="B84" s="7">
        <v>77</v>
      </c>
      <c r="C84" s="8">
        <v>46076</v>
      </c>
      <c r="D84" s="7" t="s">
        <v>233</v>
      </c>
      <c r="E84" s="55" t="s">
        <v>238</v>
      </c>
      <c r="F84" s="7">
        <v>16043</v>
      </c>
      <c r="G84" s="56" t="s">
        <v>228</v>
      </c>
      <c r="H84" s="9">
        <v>250</v>
      </c>
      <c r="I84" s="9">
        <v>0</v>
      </c>
      <c r="J84" s="10">
        <v>0</v>
      </c>
      <c r="K84" s="9">
        <v>250</v>
      </c>
      <c r="L84" s="9">
        <v>0</v>
      </c>
      <c r="M84" s="11">
        <v>5.89</v>
      </c>
      <c r="N84" s="57">
        <v>1472.5</v>
      </c>
      <c r="O84" s="8">
        <v>46171</v>
      </c>
      <c r="P84" s="7" t="s">
        <v>10</v>
      </c>
      <c r="Q84" s="58"/>
    </row>
    <row r="85" spans="1:17" x14ac:dyDescent="0.25">
      <c r="A85" s="7" t="str">
        <f>VLOOKUP(B85,Plants!$A$2:$B$39,2,0)</f>
        <v>Murdoch Linen</v>
      </c>
      <c r="B85" s="7">
        <v>77</v>
      </c>
      <c r="C85" s="8">
        <v>46084</v>
      </c>
      <c r="D85" s="7" t="s">
        <v>225</v>
      </c>
      <c r="E85" s="55" t="s">
        <v>260</v>
      </c>
      <c r="F85" s="7">
        <v>16043</v>
      </c>
      <c r="G85" s="56" t="s">
        <v>228</v>
      </c>
      <c r="H85" s="9">
        <v>400</v>
      </c>
      <c r="I85" s="9">
        <v>0</v>
      </c>
      <c r="J85" s="10">
        <v>0</v>
      </c>
      <c r="K85" s="9">
        <v>400</v>
      </c>
      <c r="L85" s="9">
        <v>0</v>
      </c>
      <c r="M85" s="11">
        <v>5.89</v>
      </c>
      <c r="N85" s="57">
        <v>2356</v>
      </c>
      <c r="O85" s="8">
        <v>46178</v>
      </c>
      <c r="P85" s="7" t="s">
        <v>10</v>
      </c>
      <c r="Q85" s="58"/>
    </row>
    <row r="86" spans="1:17" x14ac:dyDescent="0.25">
      <c r="A86" s="7" t="str">
        <f>VLOOKUP(B86,Plants!$A$2:$B$39,2,0)</f>
        <v>Murdoch Linen</v>
      </c>
      <c r="B86" s="7">
        <v>77</v>
      </c>
      <c r="C86" s="8">
        <v>46119</v>
      </c>
      <c r="D86" s="7" t="s">
        <v>307</v>
      </c>
      <c r="E86" s="55" t="s">
        <v>310</v>
      </c>
      <c r="F86" s="7">
        <v>17047</v>
      </c>
      <c r="G86" s="56" t="s">
        <v>257</v>
      </c>
      <c r="H86" s="9">
        <v>1000</v>
      </c>
      <c r="I86" s="9">
        <v>0</v>
      </c>
      <c r="J86" s="10">
        <v>0</v>
      </c>
      <c r="K86" s="9">
        <v>1000</v>
      </c>
      <c r="L86" s="9">
        <v>0</v>
      </c>
      <c r="M86" s="11">
        <v>1.57</v>
      </c>
      <c r="N86" s="57">
        <v>1570</v>
      </c>
      <c r="O86" s="8">
        <v>46206</v>
      </c>
      <c r="P86" s="7" t="s">
        <v>67</v>
      </c>
      <c r="Q86" s="58"/>
    </row>
    <row r="87" spans="1:17" x14ac:dyDescent="0.25">
      <c r="A87" s="7" t="str">
        <f>VLOOKUP(B87,Plants!$A$2:$B$39,2,0)</f>
        <v>Murdoch Linen</v>
      </c>
      <c r="B87" s="7">
        <v>77</v>
      </c>
      <c r="C87" s="8">
        <v>46119</v>
      </c>
      <c r="D87" s="7" t="s">
        <v>307</v>
      </c>
      <c r="E87" s="55" t="s">
        <v>308</v>
      </c>
      <c r="F87" s="7" t="s">
        <v>316</v>
      </c>
      <c r="G87" s="56" t="s">
        <v>317</v>
      </c>
      <c r="H87" s="9">
        <v>680</v>
      </c>
      <c r="I87" s="9">
        <v>120</v>
      </c>
      <c r="J87" s="10">
        <v>0.17647058823529413</v>
      </c>
      <c r="K87" s="9">
        <v>560</v>
      </c>
      <c r="L87" s="9">
        <v>0</v>
      </c>
      <c r="M87" s="11">
        <v>4.42</v>
      </c>
      <c r="N87" s="57">
        <v>2475.1999999999998</v>
      </c>
      <c r="O87" s="8">
        <v>46171</v>
      </c>
      <c r="P87" s="7" t="s">
        <v>10</v>
      </c>
      <c r="Q87" s="58"/>
    </row>
    <row r="88" spans="1:17" x14ac:dyDescent="0.25">
      <c r="A88" s="7" t="str">
        <f>VLOOKUP(B88,Plants!$A$2:$B$39,2,0)</f>
        <v>Murdoch Linen</v>
      </c>
      <c r="B88" s="7">
        <v>77</v>
      </c>
      <c r="C88" s="8">
        <v>46133</v>
      </c>
      <c r="D88" s="7" t="s">
        <v>340</v>
      </c>
      <c r="E88" s="55" t="s">
        <v>341</v>
      </c>
      <c r="F88" s="7" t="s">
        <v>316</v>
      </c>
      <c r="G88" s="56" t="s">
        <v>317</v>
      </c>
      <c r="H88" s="9">
        <v>70</v>
      </c>
      <c r="I88" s="9">
        <v>0</v>
      </c>
      <c r="J88" s="10">
        <v>0</v>
      </c>
      <c r="K88" s="9">
        <v>70</v>
      </c>
      <c r="L88" s="9">
        <v>0</v>
      </c>
      <c r="M88" s="11">
        <v>4.42</v>
      </c>
      <c r="N88" s="57">
        <v>309.39999999999998</v>
      </c>
      <c r="O88" s="8">
        <v>46171</v>
      </c>
      <c r="P88" s="7" t="s">
        <v>10</v>
      </c>
      <c r="Q88" s="58"/>
    </row>
    <row r="89" spans="1:17" x14ac:dyDescent="0.25">
      <c r="A89" s="7" t="str">
        <f>VLOOKUP(B89,Plants!$A$2:$B$39,2,0)</f>
        <v>Murdoch Linen</v>
      </c>
      <c r="B89" s="7">
        <v>77</v>
      </c>
      <c r="C89" s="8">
        <v>46133</v>
      </c>
      <c r="D89" s="7" t="s">
        <v>342</v>
      </c>
      <c r="E89" s="55" t="s">
        <v>343</v>
      </c>
      <c r="F89" s="7" t="s">
        <v>316</v>
      </c>
      <c r="G89" s="56" t="s">
        <v>317</v>
      </c>
      <c r="H89" s="9">
        <v>210</v>
      </c>
      <c r="I89" s="9">
        <v>0</v>
      </c>
      <c r="J89" s="10">
        <v>0</v>
      </c>
      <c r="K89" s="9">
        <v>210</v>
      </c>
      <c r="L89" s="9">
        <v>0</v>
      </c>
      <c r="M89" s="11">
        <v>4.42</v>
      </c>
      <c r="N89" s="57">
        <v>928.19999999999993</v>
      </c>
      <c r="O89" s="8">
        <v>46171</v>
      </c>
      <c r="P89" s="7" t="s">
        <v>10</v>
      </c>
      <c r="Q89" s="58"/>
    </row>
    <row r="90" spans="1:17" x14ac:dyDescent="0.25">
      <c r="A90" s="7" t="str">
        <f>VLOOKUP(B90,Plants!$A$2:$B$39,2,0)</f>
        <v>North Rocks</v>
      </c>
      <c r="B90" s="7">
        <v>22</v>
      </c>
      <c r="C90" s="8">
        <v>46083</v>
      </c>
      <c r="D90" s="7" t="s">
        <v>255</v>
      </c>
      <c r="E90" s="55" t="s">
        <v>256</v>
      </c>
      <c r="F90" s="7">
        <v>17047</v>
      </c>
      <c r="G90" s="56" t="s">
        <v>257</v>
      </c>
      <c r="H90" s="9">
        <v>2000</v>
      </c>
      <c r="I90" s="9">
        <v>1172</v>
      </c>
      <c r="J90" s="10">
        <v>0.58599999999999997</v>
      </c>
      <c r="K90" s="9">
        <v>828</v>
      </c>
      <c r="L90" s="9">
        <v>0</v>
      </c>
      <c r="M90" s="11">
        <v>1.57</v>
      </c>
      <c r="N90" s="57">
        <v>1299.96</v>
      </c>
      <c r="O90" s="8">
        <v>46206</v>
      </c>
      <c r="P90" s="7" t="s">
        <v>67</v>
      </c>
      <c r="Q90" s="58"/>
    </row>
    <row r="91" spans="1:17" x14ac:dyDescent="0.25">
      <c r="A91" s="7" t="str">
        <f>VLOOKUP(B91,Plants!$A$2:$B$39,2,0)</f>
        <v>North Rocks</v>
      </c>
      <c r="B91" s="7">
        <v>22</v>
      </c>
      <c r="C91" s="8">
        <v>46111</v>
      </c>
      <c r="D91" s="7" t="s">
        <v>282</v>
      </c>
      <c r="E91" s="55" t="s">
        <v>283</v>
      </c>
      <c r="F91" s="7">
        <v>17047</v>
      </c>
      <c r="G91" s="56" t="s">
        <v>257</v>
      </c>
      <c r="H91" s="9">
        <v>2000</v>
      </c>
      <c r="I91" s="9">
        <v>0</v>
      </c>
      <c r="J91" s="10">
        <v>0</v>
      </c>
      <c r="K91" s="9">
        <v>2000</v>
      </c>
      <c r="L91" s="9">
        <v>0</v>
      </c>
      <c r="M91" s="11">
        <v>1.57</v>
      </c>
      <c r="N91" s="57">
        <v>3140</v>
      </c>
      <c r="O91" s="8">
        <v>46206</v>
      </c>
      <c r="P91" s="7" t="s">
        <v>67</v>
      </c>
      <c r="Q91" s="58"/>
    </row>
    <row r="92" spans="1:17" x14ac:dyDescent="0.25">
      <c r="A92" s="7" t="str">
        <f>VLOOKUP(B92,Plants!$A$2:$B$39,2,0)</f>
        <v>North Rocks</v>
      </c>
      <c r="B92" s="7">
        <v>22</v>
      </c>
      <c r="C92" s="8">
        <v>46112</v>
      </c>
      <c r="D92" s="7" t="s">
        <v>293</v>
      </c>
      <c r="E92" s="55" t="s">
        <v>294</v>
      </c>
      <c r="F92" s="7">
        <v>17105</v>
      </c>
      <c r="G92" s="56" t="s">
        <v>295</v>
      </c>
      <c r="H92" s="9">
        <v>378</v>
      </c>
      <c r="I92" s="9">
        <v>0</v>
      </c>
      <c r="J92" s="10">
        <v>0</v>
      </c>
      <c r="K92" s="9">
        <v>378</v>
      </c>
      <c r="L92" s="9">
        <v>0</v>
      </c>
      <c r="M92" s="11">
        <v>41.76</v>
      </c>
      <c r="N92" s="57">
        <v>15785.279999999999</v>
      </c>
      <c r="O92" s="8">
        <v>46220</v>
      </c>
      <c r="P92" s="7" t="s">
        <v>10</v>
      </c>
      <c r="Q92" s="58"/>
    </row>
    <row r="93" spans="1:17" x14ac:dyDescent="0.25">
      <c r="A93" s="7" t="str">
        <f>VLOOKUP(B93,Plants!$A$2:$B$39,2,0)</f>
        <v>Rosebery</v>
      </c>
      <c r="B93" s="7">
        <v>75</v>
      </c>
      <c r="C93" s="8">
        <v>46083</v>
      </c>
      <c r="D93" s="7" t="s">
        <v>251</v>
      </c>
      <c r="E93" s="55" t="s">
        <v>252</v>
      </c>
      <c r="F93" s="7">
        <v>8213</v>
      </c>
      <c r="G93" s="56" t="s">
        <v>253</v>
      </c>
      <c r="H93" s="9">
        <v>120</v>
      </c>
      <c r="I93" s="9">
        <v>0</v>
      </c>
      <c r="J93" s="10">
        <v>0</v>
      </c>
      <c r="K93" s="9">
        <v>120</v>
      </c>
      <c r="L93" s="9">
        <v>0</v>
      </c>
      <c r="M93" s="11">
        <v>5.0199999999999996</v>
      </c>
      <c r="N93" s="57">
        <v>602.4</v>
      </c>
      <c r="O93" s="8">
        <v>46178</v>
      </c>
      <c r="P93" s="7" t="s">
        <v>10</v>
      </c>
      <c r="Q93" s="58"/>
    </row>
    <row r="94" spans="1:17" x14ac:dyDescent="0.25">
      <c r="A94" s="7" t="str">
        <f>VLOOKUP(B94,Plants!$A$2:$B$39,2,0)</f>
        <v>SA Garments</v>
      </c>
      <c r="B94" s="7">
        <v>53</v>
      </c>
      <c r="C94" s="8">
        <v>46093</v>
      </c>
      <c r="D94" s="7" t="s">
        <v>270</v>
      </c>
      <c r="E94" s="55" t="s">
        <v>271</v>
      </c>
      <c r="F94" s="7">
        <v>17047</v>
      </c>
      <c r="G94" s="56" t="s">
        <v>257</v>
      </c>
      <c r="H94" s="9">
        <v>1000</v>
      </c>
      <c r="I94" s="9">
        <v>0</v>
      </c>
      <c r="J94" s="10">
        <v>0</v>
      </c>
      <c r="K94" s="9">
        <v>1000</v>
      </c>
      <c r="L94" s="9">
        <v>0</v>
      </c>
      <c r="M94" s="11">
        <v>1.57</v>
      </c>
      <c r="N94" s="57">
        <v>1570</v>
      </c>
      <c r="O94" s="8">
        <v>46206</v>
      </c>
      <c r="P94" s="7" t="s">
        <v>67</v>
      </c>
      <c r="Q94" s="58"/>
    </row>
    <row r="95" spans="1:17" x14ac:dyDescent="0.25">
      <c r="A95" s="7" t="str">
        <f>VLOOKUP(B95,Plants!$A$2:$B$39,2,0)</f>
        <v>SA Garments</v>
      </c>
      <c r="B95" s="7">
        <v>53</v>
      </c>
      <c r="C95" s="8">
        <v>46133</v>
      </c>
      <c r="D95" s="7" t="s">
        <v>335</v>
      </c>
      <c r="E95" s="55" t="s">
        <v>336</v>
      </c>
      <c r="F95" s="7">
        <v>10815080</v>
      </c>
      <c r="G95" s="56" t="s">
        <v>337</v>
      </c>
      <c r="H95" s="9">
        <v>5</v>
      </c>
      <c r="I95" s="9">
        <v>0</v>
      </c>
      <c r="J95" s="10">
        <v>0</v>
      </c>
      <c r="K95" s="9">
        <v>5</v>
      </c>
      <c r="L95" s="9">
        <v>0</v>
      </c>
      <c r="M95" s="11">
        <v>25.72</v>
      </c>
      <c r="N95" s="57">
        <v>128.6</v>
      </c>
      <c r="O95" s="8">
        <v>46248</v>
      </c>
      <c r="P95" s="7" t="s">
        <v>10</v>
      </c>
      <c r="Q95" s="12"/>
    </row>
    <row r="96" spans="1:17" x14ac:dyDescent="0.25">
      <c r="A96" s="7" t="str">
        <f>VLOOKUP(B96,Plants!$A$2:$B$39,2,0)</f>
        <v>SA Garments</v>
      </c>
      <c r="B96" s="7">
        <v>53</v>
      </c>
      <c r="C96" s="8">
        <v>46133</v>
      </c>
      <c r="D96" s="7" t="s">
        <v>335</v>
      </c>
      <c r="E96" s="55" t="s">
        <v>336</v>
      </c>
      <c r="F96" s="7">
        <v>10815090</v>
      </c>
      <c r="G96" s="56" t="s">
        <v>298</v>
      </c>
      <c r="H96" s="9">
        <v>10</v>
      </c>
      <c r="I96" s="9">
        <v>0</v>
      </c>
      <c r="J96" s="10">
        <v>0</v>
      </c>
      <c r="K96" s="9">
        <v>10</v>
      </c>
      <c r="L96" s="9">
        <v>0</v>
      </c>
      <c r="M96" s="11">
        <v>25.72</v>
      </c>
      <c r="N96" s="57">
        <v>257.2</v>
      </c>
      <c r="O96" s="8">
        <v>46192</v>
      </c>
      <c r="P96" s="7" t="s">
        <v>10</v>
      </c>
      <c r="Q96" s="58"/>
    </row>
    <row r="97" spans="1:17" x14ac:dyDescent="0.25">
      <c r="A97" s="7" t="str">
        <f>VLOOKUP(B97,Plants!$A$2:$B$39,2,0)</f>
        <v>SA Garments</v>
      </c>
      <c r="B97" s="7">
        <v>53</v>
      </c>
      <c r="C97" s="8">
        <v>46120</v>
      </c>
      <c r="D97" s="7" t="s">
        <v>314</v>
      </c>
      <c r="E97" s="55" t="s">
        <v>315</v>
      </c>
      <c r="F97" s="7">
        <v>10815110</v>
      </c>
      <c r="G97" s="56" t="s">
        <v>186</v>
      </c>
      <c r="H97" s="9">
        <v>53</v>
      </c>
      <c r="I97" s="9">
        <v>0</v>
      </c>
      <c r="J97" s="10">
        <v>0</v>
      </c>
      <c r="K97" s="9">
        <v>53</v>
      </c>
      <c r="L97" s="9">
        <v>0</v>
      </c>
      <c r="M97" s="11">
        <v>26.74</v>
      </c>
      <c r="N97" s="57">
        <v>1417.22</v>
      </c>
      <c r="O97" s="8">
        <v>46227</v>
      </c>
      <c r="P97" s="7" t="s">
        <v>10</v>
      </c>
      <c r="Q97" s="58"/>
    </row>
    <row r="98" spans="1:17" x14ac:dyDescent="0.25">
      <c r="A98" s="7" t="str">
        <f>VLOOKUP(B98,Plants!$A$2:$B$39,2,0)</f>
        <v>SA Linen</v>
      </c>
      <c r="B98" s="7">
        <v>52</v>
      </c>
      <c r="C98" s="8">
        <v>46071</v>
      </c>
      <c r="D98" s="7" t="s">
        <v>229</v>
      </c>
      <c r="E98" s="55" t="s">
        <v>230</v>
      </c>
      <c r="F98" s="7">
        <v>5560</v>
      </c>
      <c r="G98" s="56" t="s">
        <v>183</v>
      </c>
      <c r="H98" s="9">
        <v>990</v>
      </c>
      <c r="I98" s="9">
        <v>0</v>
      </c>
      <c r="J98" s="10">
        <v>0</v>
      </c>
      <c r="K98" s="9">
        <v>990</v>
      </c>
      <c r="L98" s="9">
        <v>0</v>
      </c>
      <c r="M98" s="11">
        <v>5.38</v>
      </c>
      <c r="N98" s="57">
        <v>5326.2</v>
      </c>
      <c r="O98" s="8">
        <v>46178</v>
      </c>
      <c r="P98" s="7" t="s">
        <v>10</v>
      </c>
      <c r="Q98" s="12"/>
    </row>
    <row r="99" spans="1:17" x14ac:dyDescent="0.25">
      <c r="A99" s="7" t="str">
        <f>VLOOKUP(B99,Plants!$A$2:$B$39,2,0)</f>
        <v>SA Linen</v>
      </c>
      <c r="B99" s="7">
        <v>52</v>
      </c>
      <c r="C99" s="8">
        <v>46111</v>
      </c>
      <c r="D99" s="7" t="s">
        <v>289</v>
      </c>
      <c r="E99" s="55" t="s">
        <v>290</v>
      </c>
      <c r="F99" s="7">
        <v>5560</v>
      </c>
      <c r="G99" s="56" t="s">
        <v>183</v>
      </c>
      <c r="H99" s="9">
        <v>2610</v>
      </c>
      <c r="I99" s="9">
        <v>0</v>
      </c>
      <c r="J99" s="10">
        <v>0</v>
      </c>
      <c r="K99" s="9">
        <v>2610</v>
      </c>
      <c r="L99" s="9">
        <v>0</v>
      </c>
      <c r="M99" s="11">
        <v>5.38</v>
      </c>
      <c r="N99" s="57">
        <v>14041.8</v>
      </c>
      <c r="O99" s="8">
        <v>46213</v>
      </c>
      <c r="P99" s="7" t="s">
        <v>10</v>
      </c>
      <c r="Q99" s="58"/>
    </row>
    <row r="100" spans="1:17" x14ac:dyDescent="0.25">
      <c r="A100" s="7" t="str">
        <f>VLOOKUP(B100,Plants!$A$2:$B$39,2,0)</f>
        <v>SA Linen</v>
      </c>
      <c r="B100" s="7">
        <v>52</v>
      </c>
      <c r="C100" s="8">
        <v>46107</v>
      </c>
      <c r="D100" s="7" t="s">
        <v>279</v>
      </c>
      <c r="E100" s="55" t="s">
        <v>280</v>
      </c>
      <c r="F100" s="7">
        <v>6586</v>
      </c>
      <c r="G100" s="56" t="s">
        <v>291</v>
      </c>
      <c r="H100" s="9">
        <v>9994</v>
      </c>
      <c r="I100" s="9">
        <v>4997</v>
      </c>
      <c r="J100" s="10">
        <v>0.5</v>
      </c>
      <c r="K100" s="9">
        <v>4997</v>
      </c>
      <c r="L100" s="9">
        <v>0</v>
      </c>
      <c r="M100" s="11">
        <v>0.59</v>
      </c>
      <c r="N100" s="57">
        <v>2948.23</v>
      </c>
      <c r="O100" s="8">
        <v>46220</v>
      </c>
      <c r="P100" s="7" t="s">
        <v>67</v>
      </c>
      <c r="Q100" s="58"/>
    </row>
    <row r="101" spans="1:17" x14ac:dyDescent="0.25">
      <c r="A101" s="7" t="str">
        <f>VLOOKUP(B101,Plants!$A$2:$B$39,2,0)</f>
        <v>SA Linen</v>
      </c>
      <c r="B101" s="7">
        <v>52</v>
      </c>
      <c r="C101" s="8">
        <v>46071</v>
      </c>
      <c r="D101" s="7" t="s">
        <v>229</v>
      </c>
      <c r="E101" s="55" t="s">
        <v>230</v>
      </c>
      <c r="F101" s="7">
        <v>13104</v>
      </c>
      <c r="G101" s="56" t="s">
        <v>235</v>
      </c>
      <c r="H101" s="9">
        <v>320</v>
      </c>
      <c r="I101" s="9">
        <v>120</v>
      </c>
      <c r="J101" s="10">
        <v>0.375</v>
      </c>
      <c r="K101" s="9">
        <v>200</v>
      </c>
      <c r="L101" s="9">
        <v>0</v>
      </c>
      <c r="M101" s="11">
        <v>5.37</v>
      </c>
      <c r="N101" s="57">
        <v>1074</v>
      </c>
      <c r="O101" s="8">
        <v>46185</v>
      </c>
      <c r="P101" s="7" t="s">
        <v>10</v>
      </c>
      <c r="Q101" s="58"/>
    </row>
    <row r="102" spans="1:17" x14ac:dyDescent="0.25">
      <c r="A102" s="7" t="str">
        <f>VLOOKUP(B102,Plants!$A$2:$B$39,2,0)</f>
        <v>SA Linen</v>
      </c>
      <c r="B102" s="7">
        <v>52</v>
      </c>
      <c r="C102" s="8">
        <v>46111</v>
      </c>
      <c r="D102" s="7" t="s">
        <v>289</v>
      </c>
      <c r="E102" s="55" t="s">
        <v>290</v>
      </c>
      <c r="F102" s="7">
        <v>13104</v>
      </c>
      <c r="G102" s="56" t="s">
        <v>235</v>
      </c>
      <c r="H102" s="9">
        <v>160</v>
      </c>
      <c r="I102" s="9">
        <v>0</v>
      </c>
      <c r="J102" s="10">
        <v>0</v>
      </c>
      <c r="K102" s="9">
        <v>160</v>
      </c>
      <c r="L102" s="9">
        <v>0</v>
      </c>
      <c r="M102" s="11">
        <v>5.37</v>
      </c>
      <c r="N102" s="57">
        <v>859.2</v>
      </c>
      <c r="O102" s="8">
        <v>46213</v>
      </c>
      <c r="P102" s="7" t="s">
        <v>10</v>
      </c>
      <c r="Q102" s="58"/>
    </row>
    <row r="103" spans="1:17" x14ac:dyDescent="0.25">
      <c r="A103" s="7" t="str">
        <f>VLOOKUP(B103,Plants!$A$2:$B$39,2,0)</f>
        <v>SA Linen</v>
      </c>
      <c r="B103" s="7">
        <v>52</v>
      </c>
      <c r="C103" s="8">
        <v>46111</v>
      </c>
      <c r="D103" s="7" t="s">
        <v>289</v>
      </c>
      <c r="E103" s="55" t="s">
        <v>290</v>
      </c>
      <c r="F103" s="7">
        <v>13108</v>
      </c>
      <c r="G103" s="56" t="s">
        <v>292</v>
      </c>
      <c r="H103" s="9">
        <v>150</v>
      </c>
      <c r="I103" s="9">
        <v>90</v>
      </c>
      <c r="J103" s="10">
        <v>0.6</v>
      </c>
      <c r="K103" s="9">
        <v>60</v>
      </c>
      <c r="L103" s="9">
        <v>0</v>
      </c>
      <c r="M103" s="11">
        <v>6.06</v>
      </c>
      <c r="N103" s="57">
        <v>363.59999999999997</v>
      </c>
      <c r="O103" s="8">
        <v>46213</v>
      </c>
      <c r="P103" s="7" t="s">
        <v>10</v>
      </c>
      <c r="Q103" s="58"/>
    </row>
    <row r="104" spans="1:17" x14ac:dyDescent="0.25">
      <c r="A104" s="7" t="str">
        <f>VLOOKUP(B104,Plants!$A$2:$B$39,2,0)</f>
        <v>SA Linen</v>
      </c>
      <c r="B104" s="7">
        <v>52</v>
      </c>
      <c r="C104" s="8">
        <v>46049</v>
      </c>
      <c r="D104" s="7" t="s">
        <v>198</v>
      </c>
      <c r="E104" s="55" t="s">
        <v>199</v>
      </c>
      <c r="F104" s="7">
        <v>13891</v>
      </c>
      <c r="G104" s="56" t="s">
        <v>201</v>
      </c>
      <c r="H104" s="9">
        <v>200</v>
      </c>
      <c r="I104" s="9">
        <v>0</v>
      </c>
      <c r="J104" s="10">
        <v>0</v>
      </c>
      <c r="K104" s="9">
        <v>200</v>
      </c>
      <c r="L104" s="9">
        <v>0</v>
      </c>
      <c r="M104" s="11">
        <v>3.69</v>
      </c>
      <c r="N104" s="57">
        <v>738</v>
      </c>
      <c r="O104" s="8">
        <v>46178</v>
      </c>
      <c r="P104" s="7" t="s">
        <v>10</v>
      </c>
      <c r="Q104" s="58"/>
    </row>
    <row r="105" spans="1:17" x14ac:dyDescent="0.25">
      <c r="A105" s="7" t="str">
        <f>VLOOKUP(B105,Plants!$A$2:$B$39,2,0)</f>
        <v>SA Linen</v>
      </c>
      <c r="B105" s="7">
        <v>52</v>
      </c>
      <c r="C105" s="8">
        <v>46071</v>
      </c>
      <c r="D105" s="7" t="s">
        <v>229</v>
      </c>
      <c r="E105" s="55" t="s">
        <v>230</v>
      </c>
      <c r="F105" s="7">
        <v>16109</v>
      </c>
      <c r="G105" s="56" t="s">
        <v>244</v>
      </c>
      <c r="H105" s="9">
        <v>3000</v>
      </c>
      <c r="I105" s="9">
        <v>780</v>
      </c>
      <c r="J105" s="10">
        <v>0.26</v>
      </c>
      <c r="K105" s="9">
        <v>2220</v>
      </c>
      <c r="L105" s="9">
        <v>0</v>
      </c>
      <c r="M105" s="11">
        <v>3.89</v>
      </c>
      <c r="N105" s="57">
        <v>8635.8000000000011</v>
      </c>
      <c r="O105" s="8">
        <v>46157</v>
      </c>
      <c r="P105" s="7" t="s">
        <v>10</v>
      </c>
      <c r="Q105" s="58"/>
    </row>
    <row r="106" spans="1:17" x14ac:dyDescent="0.25">
      <c r="A106" s="7" t="str">
        <f>VLOOKUP(B106,Plants!$A$2:$B$39,2,0)</f>
        <v>Somersby</v>
      </c>
      <c r="B106" s="7">
        <v>24</v>
      </c>
      <c r="C106" s="8">
        <v>46083</v>
      </c>
      <c r="D106" s="7" t="s">
        <v>249</v>
      </c>
      <c r="E106" s="55" t="s">
        <v>250</v>
      </c>
      <c r="F106" s="7">
        <v>8028</v>
      </c>
      <c r="G106" s="56" t="s">
        <v>184</v>
      </c>
      <c r="H106" s="9">
        <v>150</v>
      </c>
      <c r="I106" s="9">
        <v>30</v>
      </c>
      <c r="J106" s="10">
        <v>0.2</v>
      </c>
      <c r="K106" s="9">
        <v>120</v>
      </c>
      <c r="L106" s="9">
        <v>0</v>
      </c>
      <c r="M106" s="11">
        <v>7.81</v>
      </c>
      <c r="N106" s="57">
        <v>937.19999999999993</v>
      </c>
      <c r="O106" s="8">
        <v>46178</v>
      </c>
      <c r="P106" s="7" t="s">
        <v>10</v>
      </c>
      <c r="Q106" s="58"/>
    </row>
    <row r="107" spans="1:17" x14ac:dyDescent="0.25">
      <c r="A107" s="7" t="str">
        <f>VLOOKUP(B107,Plants!$A$2:$B$39,2,0)</f>
        <v>Truganina</v>
      </c>
      <c r="B107" s="7">
        <v>37</v>
      </c>
      <c r="C107" s="8">
        <v>46063</v>
      </c>
      <c r="D107" s="7" t="s">
        <v>211</v>
      </c>
      <c r="E107" s="55" t="s">
        <v>212</v>
      </c>
      <c r="F107" s="7">
        <v>13897</v>
      </c>
      <c r="G107" s="56" t="s">
        <v>192</v>
      </c>
      <c r="H107" s="9">
        <v>100</v>
      </c>
      <c r="I107" s="9">
        <v>0</v>
      </c>
      <c r="J107" s="10">
        <v>0</v>
      </c>
      <c r="K107" s="9">
        <v>100</v>
      </c>
      <c r="L107" s="9">
        <v>0</v>
      </c>
      <c r="M107" s="11">
        <v>8.26</v>
      </c>
      <c r="N107" s="57">
        <v>826</v>
      </c>
      <c r="O107" s="8">
        <v>46164</v>
      </c>
      <c r="P107" s="7" t="s">
        <v>10</v>
      </c>
      <c r="Q107" s="58"/>
    </row>
    <row r="108" spans="1:17" x14ac:dyDescent="0.25">
      <c r="A108" s="7" t="e">
        <f>VLOOKUP(B108,Plants!$A$2:$B$39,2,0)</f>
        <v>#N/A</v>
      </c>
      <c r="B108" s="7"/>
      <c r="C108" s="8"/>
      <c r="D108" s="7"/>
      <c r="E108" s="55"/>
      <c r="F108" s="7"/>
      <c r="G108" s="56"/>
      <c r="H108" s="9"/>
      <c r="I108" s="9"/>
      <c r="J108" s="10"/>
      <c r="K108" s="9"/>
      <c r="L108" s="9"/>
      <c r="M108" s="11"/>
      <c r="N108" s="57"/>
      <c r="O108" s="8"/>
      <c r="P108" s="7"/>
      <c r="Q108" s="58"/>
    </row>
    <row r="109" spans="1:17" x14ac:dyDescent="0.25">
      <c r="A109" s="7" t="e">
        <f>VLOOKUP(B109,Plants!$A$2:$B$39,2,0)</f>
        <v>#N/A</v>
      </c>
      <c r="B109" s="7"/>
      <c r="C109" s="8"/>
      <c r="D109" s="7"/>
      <c r="E109" s="55"/>
      <c r="F109" s="7"/>
      <c r="G109" s="56"/>
      <c r="H109" s="9"/>
      <c r="I109" s="9"/>
      <c r="J109" s="10"/>
      <c r="K109" s="9"/>
      <c r="L109" s="9"/>
      <c r="M109" s="11"/>
      <c r="N109" s="57"/>
      <c r="O109" s="8"/>
      <c r="P109" s="7"/>
      <c r="Q109" s="58"/>
    </row>
    <row r="110" spans="1:17" x14ac:dyDescent="0.25">
      <c r="A110" s="7" t="e">
        <f>VLOOKUP(B110,Plants!$A$2:$B$39,2,0)</f>
        <v>#N/A</v>
      </c>
      <c r="B110" s="7"/>
      <c r="C110" s="8"/>
      <c r="D110" s="7"/>
      <c r="E110" s="55"/>
      <c r="F110" s="7"/>
      <c r="G110" s="56"/>
      <c r="H110" s="9"/>
      <c r="I110" s="9"/>
      <c r="J110" s="10"/>
      <c r="K110" s="9"/>
      <c r="L110" s="9"/>
      <c r="M110" s="11"/>
      <c r="N110" s="57"/>
      <c r="O110" s="8"/>
      <c r="P110" s="7"/>
      <c r="Q110" s="58"/>
    </row>
    <row r="111" spans="1:17" x14ac:dyDescent="0.25">
      <c r="A111" s="7" t="e">
        <f>VLOOKUP(B111,Plants!$A$2:$B$39,2,0)</f>
        <v>#N/A</v>
      </c>
      <c r="B111" s="7"/>
      <c r="C111" s="8"/>
      <c r="D111" s="7"/>
      <c r="E111" s="55"/>
      <c r="F111" s="7"/>
      <c r="G111" s="56"/>
      <c r="H111" s="9"/>
      <c r="I111" s="9"/>
      <c r="J111" s="10"/>
      <c r="K111" s="9"/>
      <c r="L111" s="9"/>
      <c r="M111" s="11"/>
      <c r="N111" s="57"/>
      <c r="O111" s="8"/>
      <c r="P111" s="7"/>
      <c r="Q111" s="58"/>
    </row>
    <row r="112" spans="1:17" x14ac:dyDescent="0.25">
      <c r="A112" s="7" t="e">
        <f>VLOOKUP(B112,Plants!$A$2:$B$39,2,0)</f>
        <v>#N/A</v>
      </c>
      <c r="B112" s="7"/>
      <c r="C112" s="8"/>
      <c r="D112" s="7"/>
      <c r="E112" s="55"/>
      <c r="F112" s="7"/>
      <c r="G112" s="56"/>
      <c r="H112" s="9"/>
      <c r="I112" s="9"/>
      <c r="J112" s="10"/>
      <c r="K112" s="9"/>
      <c r="L112" s="9"/>
      <c r="M112" s="11"/>
      <c r="N112" s="57"/>
      <c r="O112" s="8"/>
      <c r="P112" s="7"/>
      <c r="Q112" s="12"/>
    </row>
    <row r="113" spans="1:17" x14ac:dyDescent="0.25">
      <c r="A113" s="7" t="e">
        <f>VLOOKUP(B113,Plants!$A$2:$B$39,2,0)</f>
        <v>#N/A</v>
      </c>
      <c r="B113" s="7"/>
      <c r="C113" s="8"/>
      <c r="D113" s="7"/>
      <c r="E113" s="55"/>
      <c r="F113" s="7"/>
      <c r="G113" s="56"/>
      <c r="H113" s="9"/>
      <c r="I113" s="9"/>
      <c r="J113" s="10"/>
      <c r="K113" s="9"/>
      <c r="L113" s="9"/>
      <c r="M113" s="11"/>
      <c r="N113" s="57"/>
      <c r="O113" s="8"/>
      <c r="P113" s="7"/>
      <c r="Q113" s="58"/>
    </row>
    <row r="114" spans="1:17" x14ac:dyDescent="0.25">
      <c r="A114" s="7" t="e">
        <f>VLOOKUP(B114,Plants!$A$2:$B$39,2,0)</f>
        <v>#N/A</v>
      </c>
      <c r="B114" s="7"/>
      <c r="C114" s="8"/>
      <c r="D114" s="7"/>
      <c r="E114" s="55"/>
      <c r="F114" s="7"/>
      <c r="G114" s="56"/>
      <c r="H114" s="9"/>
      <c r="I114" s="9"/>
      <c r="J114" s="10"/>
      <c r="K114" s="9"/>
      <c r="L114" s="9"/>
      <c r="M114" s="11"/>
      <c r="N114" s="57"/>
      <c r="O114" s="8"/>
      <c r="P114" s="7"/>
      <c r="Q114" s="58"/>
    </row>
    <row r="115" spans="1:17" x14ac:dyDescent="0.25">
      <c r="A115" s="7" t="e">
        <f>VLOOKUP(B115,Plants!$A$2:$B$39,2,0)</f>
        <v>#N/A</v>
      </c>
      <c r="B115" s="7"/>
      <c r="C115" s="8"/>
      <c r="D115" s="7"/>
      <c r="E115" s="55"/>
      <c r="F115" s="7"/>
      <c r="G115" s="56"/>
      <c r="H115" s="9"/>
      <c r="I115" s="9"/>
      <c r="J115" s="10"/>
      <c r="K115" s="9"/>
      <c r="L115" s="9"/>
      <c r="M115" s="11"/>
      <c r="N115" s="57"/>
      <c r="O115" s="8"/>
      <c r="P115" s="7"/>
      <c r="Q115" s="58"/>
    </row>
    <row r="116" spans="1:17" x14ac:dyDescent="0.25">
      <c r="A116" s="7" t="e">
        <f>VLOOKUP(B116,Plants!$A$2:$B$39,2,0)</f>
        <v>#N/A</v>
      </c>
      <c r="B116" s="7"/>
      <c r="C116" s="8"/>
      <c r="D116" s="7"/>
      <c r="E116" s="55"/>
      <c r="F116" s="7"/>
      <c r="G116" s="56"/>
      <c r="H116" s="9"/>
      <c r="I116" s="9"/>
      <c r="J116" s="10"/>
      <c r="K116" s="9"/>
      <c r="L116" s="9"/>
      <c r="M116" s="11"/>
      <c r="N116" s="57"/>
      <c r="O116" s="8"/>
      <c r="P116" s="7"/>
      <c r="Q116" s="58"/>
    </row>
    <row r="117" spans="1:17" x14ac:dyDescent="0.25">
      <c r="A117" s="7" t="e">
        <f>VLOOKUP(B117,Plants!$A$2:$B$39,2,0)</f>
        <v>#N/A</v>
      </c>
      <c r="B117" s="7"/>
      <c r="C117" s="8"/>
      <c r="D117" s="7"/>
      <c r="E117" s="55"/>
      <c r="F117" s="7"/>
      <c r="G117" s="56"/>
      <c r="H117" s="9"/>
      <c r="I117" s="9"/>
      <c r="J117" s="10"/>
      <c r="K117" s="9"/>
      <c r="L117" s="9"/>
      <c r="M117" s="11"/>
      <c r="N117" s="57"/>
      <c r="O117" s="8"/>
      <c r="P117" s="7"/>
      <c r="Q117" s="12"/>
    </row>
    <row r="118" spans="1:17" x14ac:dyDescent="0.25">
      <c r="A118" s="7" t="e">
        <f>VLOOKUP(B118,Plants!$A$2:$B$39,2,0)</f>
        <v>#N/A</v>
      </c>
      <c r="B118" s="7"/>
      <c r="C118" s="8"/>
      <c r="D118" s="7"/>
      <c r="E118" s="55"/>
      <c r="F118" s="7"/>
      <c r="G118" s="56"/>
      <c r="H118" s="9"/>
      <c r="I118" s="9"/>
      <c r="J118" s="10"/>
      <c r="K118" s="9"/>
      <c r="L118" s="9"/>
      <c r="M118" s="11"/>
      <c r="N118" s="57"/>
      <c r="O118" s="8"/>
      <c r="P118" s="7"/>
      <c r="Q118" s="58"/>
    </row>
    <row r="119" spans="1:17" x14ac:dyDescent="0.25">
      <c r="A119" s="7" t="e">
        <f>VLOOKUP(B119,Plants!$A$2:$B$39,2,0)</f>
        <v>#N/A</v>
      </c>
      <c r="B119" s="7"/>
      <c r="C119" s="8"/>
      <c r="D119" s="7"/>
      <c r="E119" s="55"/>
      <c r="F119" s="7"/>
      <c r="G119" s="56"/>
      <c r="H119" s="9"/>
      <c r="I119" s="9"/>
      <c r="J119" s="10"/>
      <c r="K119" s="9"/>
      <c r="L119" s="9"/>
      <c r="M119" s="11"/>
      <c r="N119" s="57"/>
      <c r="O119" s="8"/>
      <c r="P119" s="7"/>
      <c r="Q119" s="58"/>
    </row>
    <row r="120" spans="1:17" x14ac:dyDescent="0.25">
      <c r="A120" s="7" t="e">
        <f>VLOOKUP(B120,Plants!$A$2:$B$39,2,0)</f>
        <v>#N/A</v>
      </c>
      <c r="B120" s="7"/>
      <c r="C120" s="8"/>
      <c r="D120" s="7"/>
      <c r="E120" s="55"/>
      <c r="F120" s="7"/>
      <c r="G120" s="56"/>
      <c r="H120" s="9"/>
      <c r="I120" s="9"/>
      <c r="J120" s="10"/>
      <c r="K120" s="9"/>
      <c r="L120" s="9"/>
      <c r="M120" s="11"/>
      <c r="N120" s="57"/>
      <c r="O120" s="8"/>
      <c r="P120" s="7"/>
      <c r="Q120" s="58"/>
    </row>
    <row r="121" spans="1:17" x14ac:dyDescent="0.25">
      <c r="A121" s="7" t="e">
        <f>VLOOKUP(B121,Plants!$A$2:$B$39,2,0)</f>
        <v>#N/A</v>
      </c>
      <c r="B121" s="7"/>
      <c r="C121" s="8"/>
      <c r="D121" s="7"/>
      <c r="E121" s="55"/>
      <c r="F121" s="7"/>
      <c r="G121" s="56"/>
      <c r="H121" s="9"/>
      <c r="I121" s="9"/>
      <c r="J121" s="10"/>
      <c r="K121" s="9"/>
      <c r="L121" s="9"/>
      <c r="M121" s="11"/>
      <c r="N121" s="57"/>
      <c r="O121" s="8"/>
      <c r="P121" s="7"/>
      <c r="Q121" s="12"/>
    </row>
    <row r="122" spans="1:17" x14ac:dyDescent="0.25">
      <c r="A122" s="7" t="e">
        <f>VLOOKUP(B122,Plants!$A$2:$B$39,2,0)</f>
        <v>#N/A</v>
      </c>
      <c r="B122" s="7"/>
      <c r="C122" s="8"/>
      <c r="D122" s="7"/>
      <c r="E122" s="55"/>
      <c r="F122" s="7"/>
      <c r="G122" s="56"/>
      <c r="H122" s="9"/>
      <c r="I122" s="9"/>
      <c r="J122" s="10"/>
      <c r="K122" s="9"/>
      <c r="L122" s="9"/>
      <c r="M122" s="11"/>
      <c r="N122" s="57"/>
      <c r="O122" s="8"/>
      <c r="P122" s="7"/>
      <c r="Q122" s="58"/>
    </row>
    <row r="123" spans="1:17" x14ac:dyDescent="0.25">
      <c r="A123" s="7" t="e">
        <f>VLOOKUP(B123,Plants!$A$2:$B$39,2,0)</f>
        <v>#N/A</v>
      </c>
      <c r="B123" s="7"/>
      <c r="C123" s="8"/>
      <c r="D123" s="7"/>
      <c r="E123" s="55"/>
      <c r="F123" s="7"/>
      <c r="G123" s="56"/>
      <c r="H123" s="9"/>
      <c r="I123" s="9"/>
      <c r="J123" s="10"/>
      <c r="K123" s="9"/>
      <c r="L123" s="9"/>
      <c r="M123" s="11"/>
      <c r="N123" s="57"/>
      <c r="O123" s="8"/>
      <c r="P123" s="7"/>
      <c r="Q123" s="58"/>
    </row>
    <row r="124" spans="1:17" x14ac:dyDescent="0.25">
      <c r="A124" s="7" t="e">
        <f>VLOOKUP(B124,Plants!$A$2:$B$39,2,0)</f>
        <v>#N/A</v>
      </c>
      <c r="B124" s="7"/>
      <c r="C124" s="8"/>
      <c r="D124" s="7"/>
      <c r="E124" s="55"/>
      <c r="F124" s="7"/>
      <c r="G124" s="56"/>
      <c r="H124" s="9"/>
      <c r="I124" s="9"/>
      <c r="J124" s="10"/>
      <c r="K124" s="9"/>
      <c r="L124" s="9"/>
      <c r="M124" s="11"/>
      <c r="N124" s="57"/>
      <c r="O124" s="8"/>
      <c r="P124" s="7"/>
      <c r="Q124" s="12"/>
    </row>
    <row r="125" spans="1:17" x14ac:dyDescent="0.25">
      <c r="A125" s="7" t="e">
        <f>VLOOKUP(B125,Plants!$A$2:$B$39,2,0)</f>
        <v>#N/A</v>
      </c>
      <c r="B125" s="7"/>
      <c r="C125" s="8"/>
      <c r="D125" s="7"/>
      <c r="E125" s="55"/>
      <c r="F125" s="7"/>
      <c r="G125" s="56"/>
      <c r="H125" s="9"/>
      <c r="I125" s="9"/>
      <c r="J125" s="10"/>
      <c r="K125" s="9"/>
      <c r="L125" s="9"/>
      <c r="M125" s="11"/>
      <c r="N125" s="57"/>
      <c r="O125" s="8"/>
      <c r="P125" s="7"/>
      <c r="Q125" s="58"/>
    </row>
    <row r="126" spans="1:17" x14ac:dyDescent="0.25">
      <c r="A126" s="7" t="e">
        <f>VLOOKUP(B126,Plants!$A$2:$B$39,2,0)</f>
        <v>#N/A</v>
      </c>
      <c r="B126" s="7"/>
      <c r="C126" s="8"/>
      <c r="D126" s="7"/>
      <c r="E126" s="55"/>
      <c r="F126" s="7"/>
      <c r="G126" s="56"/>
      <c r="H126" s="9"/>
      <c r="I126" s="9"/>
      <c r="J126" s="10"/>
      <c r="K126" s="9"/>
      <c r="L126" s="9"/>
      <c r="M126" s="11"/>
      <c r="N126" s="57"/>
      <c r="O126" s="8"/>
      <c r="P126" s="7"/>
      <c r="Q126" s="12"/>
    </row>
    <row r="127" spans="1:17" x14ac:dyDescent="0.25">
      <c r="A127" s="7" t="e">
        <f>VLOOKUP(B127,Plants!$A$2:$B$39,2,0)</f>
        <v>#N/A</v>
      </c>
      <c r="B127" s="7"/>
      <c r="C127" s="8"/>
      <c r="D127" s="7"/>
      <c r="E127" s="55"/>
      <c r="F127" s="7"/>
      <c r="G127" s="56"/>
      <c r="H127" s="9"/>
      <c r="I127" s="9"/>
      <c r="J127" s="10"/>
      <c r="K127" s="9"/>
      <c r="L127" s="9"/>
      <c r="M127" s="11"/>
      <c r="N127" s="57"/>
      <c r="O127" s="8"/>
      <c r="P127" s="7"/>
      <c r="Q127" s="58"/>
    </row>
    <row r="128" spans="1:17" x14ac:dyDescent="0.25">
      <c r="A128" s="7" t="e">
        <f>VLOOKUP(B128,Plants!$A$2:$B$39,2,0)</f>
        <v>#N/A</v>
      </c>
      <c r="B128" s="7"/>
      <c r="C128" s="8"/>
      <c r="D128" s="7"/>
      <c r="E128" s="55"/>
      <c r="F128" s="7"/>
      <c r="G128" s="56"/>
      <c r="H128" s="9"/>
      <c r="I128" s="9"/>
      <c r="J128" s="10"/>
      <c r="K128" s="9"/>
      <c r="L128" s="9"/>
      <c r="M128" s="11"/>
      <c r="N128" s="57"/>
      <c r="O128" s="8"/>
      <c r="P128" s="7"/>
      <c r="Q128" s="58"/>
    </row>
    <row r="129" spans="1:17" x14ac:dyDescent="0.25">
      <c r="A129" s="7" t="e">
        <f>VLOOKUP(B129,Plants!$A$2:$B$39,2,0)</f>
        <v>#N/A</v>
      </c>
      <c r="B129" s="7"/>
      <c r="C129" s="8"/>
      <c r="D129" s="7"/>
      <c r="E129" s="55"/>
      <c r="F129" s="7"/>
      <c r="G129" s="56"/>
      <c r="H129" s="9"/>
      <c r="I129" s="9"/>
      <c r="J129" s="10"/>
      <c r="K129" s="9"/>
      <c r="L129" s="9"/>
      <c r="M129" s="11"/>
      <c r="N129" s="57"/>
      <c r="O129" s="8"/>
      <c r="P129" s="7"/>
      <c r="Q129" s="58"/>
    </row>
    <row r="130" spans="1:17" x14ac:dyDescent="0.25">
      <c r="A130" s="7" t="e">
        <f>VLOOKUP(B130,Plants!$A$2:$B$39,2,0)</f>
        <v>#N/A</v>
      </c>
      <c r="B130" s="7"/>
      <c r="C130" s="8"/>
      <c r="D130" s="7"/>
      <c r="E130" s="55"/>
      <c r="F130" s="7"/>
      <c r="G130" s="56"/>
      <c r="H130" s="9"/>
      <c r="I130" s="9"/>
      <c r="J130" s="10"/>
      <c r="K130" s="9"/>
      <c r="L130" s="9"/>
      <c r="M130" s="11"/>
      <c r="N130" s="57"/>
      <c r="O130" s="8"/>
      <c r="P130" s="7"/>
      <c r="Q130" s="58"/>
    </row>
    <row r="131" spans="1:17" x14ac:dyDescent="0.25">
      <c r="A131" s="7" t="e">
        <f>VLOOKUP(B131,Plants!$A$2:$B$39,2,0)</f>
        <v>#N/A</v>
      </c>
      <c r="B131" s="7"/>
      <c r="C131" s="8"/>
      <c r="D131" s="7"/>
      <c r="E131" s="55"/>
      <c r="F131" s="7"/>
      <c r="G131" s="56"/>
      <c r="H131" s="9"/>
      <c r="I131" s="9"/>
      <c r="J131" s="10"/>
      <c r="K131" s="9"/>
      <c r="L131" s="9"/>
      <c r="M131" s="11"/>
      <c r="N131" s="57"/>
      <c r="O131" s="8"/>
      <c r="P131" s="7"/>
      <c r="Q131" s="58"/>
    </row>
    <row r="132" spans="1:17" x14ac:dyDescent="0.25">
      <c r="A132" s="7" t="e">
        <f>VLOOKUP(B132,Plants!$A$2:$B$39,2,0)</f>
        <v>#N/A</v>
      </c>
      <c r="B132" s="7"/>
      <c r="C132" s="8"/>
      <c r="D132" s="7"/>
      <c r="E132" s="55"/>
      <c r="F132" s="7"/>
      <c r="G132" s="56"/>
      <c r="H132" s="9"/>
      <c r="I132" s="9"/>
      <c r="J132" s="10"/>
      <c r="K132" s="9"/>
      <c r="L132" s="9"/>
      <c r="M132" s="11"/>
      <c r="N132" s="57"/>
      <c r="O132" s="8"/>
      <c r="P132" s="7"/>
      <c r="Q132" s="58"/>
    </row>
    <row r="133" spans="1:17" x14ac:dyDescent="0.25">
      <c r="A133" s="7" t="e">
        <f>VLOOKUP(B133,Plants!$A$2:$B$39,2,0)</f>
        <v>#N/A</v>
      </c>
      <c r="B133" s="7"/>
      <c r="C133" s="8"/>
      <c r="D133" s="7"/>
      <c r="E133" s="55"/>
      <c r="F133" s="7"/>
      <c r="G133" s="56"/>
      <c r="H133" s="9"/>
      <c r="I133" s="9"/>
      <c r="J133" s="10"/>
      <c r="K133" s="9"/>
      <c r="L133" s="9"/>
      <c r="M133" s="11"/>
      <c r="N133" s="57"/>
      <c r="O133" s="8"/>
      <c r="P133" s="7"/>
      <c r="Q133" s="58"/>
    </row>
    <row r="134" spans="1:17" x14ac:dyDescent="0.25">
      <c r="A134" s="7" t="e">
        <f>VLOOKUP(B134,Plants!$A$2:$B$39,2,0)</f>
        <v>#N/A</v>
      </c>
      <c r="B134" s="7"/>
      <c r="C134" s="8"/>
      <c r="D134" s="7"/>
      <c r="E134" s="55"/>
      <c r="F134" s="7"/>
      <c r="G134" s="56"/>
      <c r="H134" s="9"/>
      <c r="I134" s="9"/>
      <c r="J134" s="10"/>
      <c r="K134" s="9"/>
      <c r="L134" s="9"/>
      <c r="M134" s="11"/>
      <c r="N134" s="57"/>
      <c r="O134" s="8"/>
      <c r="P134" s="7"/>
      <c r="Q134" s="58"/>
    </row>
    <row r="135" spans="1:17" x14ac:dyDescent="0.25">
      <c r="A135" s="7" t="e">
        <f>VLOOKUP(B135,Plants!$A$2:$B$39,2,0)</f>
        <v>#N/A</v>
      </c>
      <c r="B135" s="7"/>
      <c r="C135" s="8"/>
      <c r="D135" s="7"/>
      <c r="E135" s="55"/>
      <c r="F135" s="7"/>
      <c r="G135" s="56"/>
      <c r="H135" s="9"/>
      <c r="I135" s="9"/>
      <c r="J135" s="10"/>
      <c r="K135" s="9"/>
      <c r="L135" s="9"/>
      <c r="M135" s="11"/>
      <c r="N135" s="57"/>
      <c r="O135" s="8"/>
      <c r="P135" s="7"/>
      <c r="Q135" s="58"/>
    </row>
    <row r="136" spans="1:17" x14ac:dyDescent="0.25">
      <c r="A136" s="7" t="e">
        <f>VLOOKUP(B136,Plants!$A$2:$B$39,2,0)</f>
        <v>#N/A</v>
      </c>
      <c r="B136" s="7"/>
      <c r="C136" s="8"/>
      <c r="D136" s="7"/>
      <c r="E136" s="55"/>
      <c r="F136" s="7"/>
      <c r="G136" s="56"/>
      <c r="H136" s="9"/>
      <c r="I136" s="9"/>
      <c r="J136" s="10"/>
      <c r="K136" s="9"/>
      <c r="L136" s="9"/>
      <c r="M136" s="11"/>
      <c r="N136" s="57"/>
      <c r="O136" s="8"/>
      <c r="P136" s="7"/>
      <c r="Q136" s="58"/>
    </row>
    <row r="137" spans="1:17" x14ac:dyDescent="0.25">
      <c r="A137" s="7" t="e">
        <f>VLOOKUP(B137,Plants!$A$2:$B$39,2,0)</f>
        <v>#N/A</v>
      </c>
      <c r="B137" s="7"/>
      <c r="C137" s="8"/>
      <c r="D137" s="7"/>
      <c r="E137" s="55"/>
      <c r="F137" s="7"/>
      <c r="G137" s="56"/>
      <c r="H137" s="9"/>
      <c r="I137" s="9"/>
      <c r="J137" s="10"/>
      <c r="K137" s="9"/>
      <c r="L137" s="9"/>
      <c r="M137" s="11"/>
      <c r="N137" s="57"/>
      <c r="O137" s="8"/>
      <c r="P137" s="7"/>
      <c r="Q137" s="58"/>
    </row>
    <row r="138" spans="1:17" x14ac:dyDescent="0.25">
      <c r="A138" s="7" t="e">
        <f>VLOOKUP(B138,Plants!$A$2:$B$39,2,0)</f>
        <v>#N/A</v>
      </c>
      <c r="B138" s="7"/>
      <c r="C138" s="8"/>
      <c r="D138" s="7"/>
      <c r="E138" s="55"/>
      <c r="F138" s="7"/>
      <c r="G138" s="56"/>
      <c r="H138" s="9"/>
      <c r="I138" s="9"/>
      <c r="J138" s="10"/>
      <c r="K138" s="9"/>
      <c r="L138" s="9"/>
      <c r="M138" s="11"/>
      <c r="N138" s="57"/>
      <c r="O138" s="8"/>
      <c r="P138" s="7"/>
      <c r="Q138" s="58"/>
    </row>
    <row r="139" spans="1:17" x14ac:dyDescent="0.25">
      <c r="A139" s="7" t="e">
        <f>VLOOKUP(B139,Plants!$A$2:$B$39,2,0)</f>
        <v>#N/A</v>
      </c>
      <c r="B139" s="7"/>
      <c r="C139" s="8"/>
      <c r="D139" s="7"/>
      <c r="E139" s="55"/>
      <c r="F139" s="7"/>
      <c r="G139" s="56"/>
      <c r="H139" s="9"/>
      <c r="I139" s="9"/>
      <c r="J139" s="10"/>
      <c r="K139" s="9"/>
      <c r="L139" s="9"/>
      <c r="M139" s="11"/>
      <c r="N139" s="57"/>
      <c r="O139" s="8"/>
      <c r="P139" s="7"/>
      <c r="Q139" s="58"/>
    </row>
    <row r="140" spans="1:17" x14ac:dyDescent="0.25">
      <c r="A140" s="7" t="e">
        <f>VLOOKUP(B140,Plants!$A$2:$B$39,2,0)</f>
        <v>#N/A</v>
      </c>
      <c r="B140" s="7"/>
      <c r="C140" s="8"/>
      <c r="D140" s="7"/>
      <c r="E140" s="55"/>
      <c r="F140" s="7"/>
      <c r="G140" s="56"/>
      <c r="H140" s="9"/>
      <c r="I140" s="9"/>
      <c r="J140" s="10"/>
      <c r="K140" s="9"/>
      <c r="L140" s="9"/>
      <c r="M140" s="11"/>
      <c r="N140" s="57"/>
      <c r="O140" s="8"/>
      <c r="P140" s="7"/>
      <c r="Q140" s="58"/>
    </row>
    <row r="141" spans="1:17" x14ac:dyDescent="0.25">
      <c r="A141" s="7" t="e">
        <f>VLOOKUP(B141,Plants!$A$2:$B$39,2,0)</f>
        <v>#N/A</v>
      </c>
      <c r="B141" s="7"/>
      <c r="C141" s="8"/>
      <c r="D141" s="7"/>
      <c r="E141" s="55"/>
      <c r="F141" s="7"/>
      <c r="G141" s="56"/>
      <c r="H141" s="9"/>
      <c r="I141" s="9"/>
      <c r="J141" s="10"/>
      <c r="K141" s="9"/>
      <c r="L141" s="9"/>
      <c r="M141" s="11"/>
      <c r="N141" s="57"/>
      <c r="O141" s="8"/>
      <c r="P141" s="7"/>
      <c r="Q141" s="58"/>
    </row>
    <row r="142" spans="1:17" x14ac:dyDescent="0.25">
      <c r="A142" s="7" t="e">
        <f>VLOOKUP(B142,Plants!$A$2:$B$39,2,0)</f>
        <v>#N/A</v>
      </c>
      <c r="B142" s="7"/>
      <c r="C142" s="8"/>
      <c r="D142" s="7"/>
      <c r="E142" s="55"/>
      <c r="F142" s="7"/>
      <c r="G142" s="56"/>
      <c r="H142" s="9"/>
      <c r="I142" s="9"/>
      <c r="J142" s="10"/>
      <c r="K142" s="9"/>
      <c r="L142" s="9"/>
      <c r="M142" s="11"/>
      <c r="N142" s="57"/>
      <c r="O142" s="8"/>
      <c r="P142" s="7"/>
      <c r="Q142" s="12"/>
    </row>
    <row r="143" spans="1:17" x14ac:dyDescent="0.25">
      <c r="A143" s="7" t="e">
        <f>VLOOKUP(B143,Plants!$A$2:$B$39,2,0)</f>
        <v>#N/A</v>
      </c>
      <c r="B143" s="7"/>
      <c r="C143" s="8"/>
      <c r="D143" s="7"/>
      <c r="E143" s="55"/>
      <c r="F143" s="7"/>
      <c r="G143" s="56"/>
      <c r="H143" s="9"/>
      <c r="I143" s="9"/>
      <c r="J143" s="10"/>
      <c r="K143" s="9"/>
      <c r="L143" s="9"/>
      <c r="M143" s="11"/>
      <c r="N143" s="57"/>
      <c r="O143" s="8"/>
      <c r="P143" s="7"/>
      <c r="Q143" s="12"/>
    </row>
    <row r="144" spans="1:17" x14ac:dyDescent="0.25">
      <c r="A144" s="7" t="e">
        <f>VLOOKUP(B144,Plants!$A$2:$B$39,2,0)</f>
        <v>#N/A</v>
      </c>
      <c r="B144" s="7"/>
      <c r="C144" s="8"/>
      <c r="D144" s="7"/>
      <c r="E144" s="55"/>
      <c r="F144" s="7"/>
      <c r="G144" s="56"/>
      <c r="H144" s="9"/>
      <c r="I144" s="9"/>
      <c r="J144" s="10"/>
      <c r="K144" s="9"/>
      <c r="L144" s="9"/>
      <c r="M144" s="11"/>
      <c r="N144" s="57"/>
      <c r="O144" s="8"/>
      <c r="P144" s="7"/>
      <c r="Q144" s="58"/>
    </row>
    <row r="145" spans="1:17" x14ac:dyDescent="0.25">
      <c r="A145" s="7" t="e">
        <f>VLOOKUP(B145,Plants!$A$2:$B$39,2,0)</f>
        <v>#N/A</v>
      </c>
      <c r="B145" s="7"/>
      <c r="C145" s="8"/>
      <c r="D145" s="7"/>
      <c r="E145" s="55"/>
      <c r="F145" s="7"/>
      <c r="G145" s="56"/>
      <c r="H145" s="9"/>
      <c r="I145" s="9"/>
      <c r="J145" s="10"/>
      <c r="K145" s="9"/>
      <c r="L145" s="9"/>
      <c r="M145" s="11"/>
      <c r="N145" s="57"/>
      <c r="O145" s="8"/>
      <c r="P145" s="7"/>
      <c r="Q145" s="58"/>
    </row>
    <row r="146" spans="1:17" x14ac:dyDescent="0.25">
      <c r="A146" s="7" t="e">
        <f>VLOOKUP(B146,Plants!$A$2:$B$39,2,0)</f>
        <v>#N/A</v>
      </c>
      <c r="B146" s="7"/>
      <c r="C146" s="8"/>
      <c r="D146" s="7"/>
      <c r="E146" s="55"/>
      <c r="F146" s="7"/>
      <c r="G146" s="56"/>
      <c r="H146" s="9"/>
      <c r="I146" s="9"/>
      <c r="J146" s="10"/>
      <c r="K146" s="9"/>
      <c r="L146" s="9"/>
      <c r="M146" s="11"/>
      <c r="N146" s="57"/>
      <c r="O146" s="8"/>
      <c r="P146" s="7"/>
      <c r="Q146" s="12"/>
    </row>
    <row r="147" spans="1:17" x14ac:dyDescent="0.25">
      <c r="A147" s="7" t="e">
        <f>VLOOKUP(B147,Plants!$A$2:$B$39,2,0)</f>
        <v>#N/A</v>
      </c>
      <c r="B147" s="7"/>
      <c r="C147" s="8"/>
      <c r="D147" s="7"/>
      <c r="E147" s="55"/>
      <c r="F147" s="7"/>
      <c r="G147" s="56"/>
      <c r="H147" s="9"/>
      <c r="I147" s="9"/>
      <c r="J147" s="10"/>
      <c r="K147" s="9"/>
      <c r="L147" s="9"/>
      <c r="M147" s="11"/>
      <c r="N147" s="57"/>
      <c r="O147" s="8"/>
      <c r="P147" s="7"/>
      <c r="Q147" s="58"/>
    </row>
    <row r="148" spans="1:17" x14ac:dyDescent="0.25">
      <c r="A148" s="7" t="e">
        <f>VLOOKUP(B148,Plants!$A$2:$B$39,2,0)</f>
        <v>#N/A</v>
      </c>
      <c r="B148" s="7"/>
      <c r="C148" s="8"/>
      <c r="D148" s="7"/>
      <c r="E148" s="55"/>
      <c r="F148" s="7"/>
      <c r="G148" s="56"/>
      <c r="H148" s="9"/>
      <c r="I148" s="9"/>
      <c r="J148" s="10"/>
      <c r="K148" s="9"/>
      <c r="L148" s="9"/>
      <c r="M148" s="11"/>
      <c r="N148" s="57"/>
      <c r="O148" s="8"/>
      <c r="P148" s="7"/>
      <c r="Q148" s="58"/>
    </row>
    <row r="149" spans="1:17" x14ac:dyDescent="0.25">
      <c r="A149" s="7" t="e">
        <f>VLOOKUP(B149,Plants!$A$2:$B$39,2,0)</f>
        <v>#N/A</v>
      </c>
      <c r="B149" s="7"/>
      <c r="C149" s="8"/>
      <c r="D149" s="7"/>
      <c r="E149" s="55"/>
      <c r="F149" s="7"/>
      <c r="G149" s="56"/>
      <c r="H149" s="9"/>
      <c r="I149" s="9"/>
      <c r="J149" s="10"/>
      <c r="K149" s="9"/>
      <c r="L149" s="9"/>
      <c r="M149" s="11"/>
      <c r="N149" s="57"/>
      <c r="O149" s="8"/>
      <c r="P149" s="7"/>
      <c r="Q149" s="12"/>
    </row>
    <row r="150" spans="1:17" x14ac:dyDescent="0.25">
      <c r="A150" s="7" t="e">
        <f>VLOOKUP(B150,Plants!$A$2:$B$39,2,0)</f>
        <v>#N/A</v>
      </c>
      <c r="B150" s="7"/>
      <c r="C150" s="8"/>
      <c r="D150" s="7"/>
      <c r="E150" s="55"/>
      <c r="F150" s="7"/>
      <c r="G150" s="56"/>
      <c r="H150" s="9"/>
      <c r="I150" s="9"/>
      <c r="J150" s="10"/>
      <c r="K150" s="9"/>
      <c r="L150" s="9"/>
      <c r="M150" s="11"/>
      <c r="N150" s="57"/>
      <c r="O150" s="8"/>
      <c r="P150" s="7"/>
      <c r="Q150" s="58"/>
    </row>
    <row r="151" spans="1:17" x14ac:dyDescent="0.25">
      <c r="A151" s="7" t="e">
        <f>VLOOKUP(B151,Plants!$A$2:$B$39,2,0)</f>
        <v>#N/A</v>
      </c>
      <c r="B151" s="7"/>
      <c r="C151" s="8"/>
      <c r="D151" s="7"/>
      <c r="E151" s="55"/>
      <c r="F151" s="7"/>
      <c r="G151" s="56"/>
      <c r="H151" s="9"/>
      <c r="I151" s="9"/>
      <c r="J151" s="10"/>
      <c r="K151" s="9"/>
      <c r="L151" s="9"/>
      <c r="M151" s="11"/>
      <c r="N151" s="57"/>
      <c r="O151" s="8"/>
      <c r="P151" s="7"/>
      <c r="Q151" s="58"/>
    </row>
    <row r="152" spans="1:17" x14ac:dyDescent="0.25">
      <c r="A152" s="7" t="e">
        <f>VLOOKUP(B152,Plants!$A$2:$B$39,2,0)</f>
        <v>#N/A</v>
      </c>
      <c r="B152" s="7"/>
      <c r="C152" s="8"/>
      <c r="D152" s="7"/>
      <c r="E152" s="55"/>
      <c r="F152" s="7"/>
      <c r="G152" s="56"/>
      <c r="H152" s="9"/>
      <c r="I152" s="9"/>
      <c r="J152" s="10"/>
      <c r="K152" s="9"/>
      <c r="L152" s="9"/>
      <c r="M152" s="11"/>
      <c r="N152" s="57"/>
      <c r="O152" s="8"/>
      <c r="P152" s="7"/>
      <c r="Q152" s="58"/>
    </row>
    <row r="153" spans="1:17" x14ac:dyDescent="0.25">
      <c r="A153" s="7" t="e">
        <f>VLOOKUP(B153,Plants!$A$2:$B$39,2,0)</f>
        <v>#N/A</v>
      </c>
      <c r="B153" s="7"/>
      <c r="C153" s="8"/>
      <c r="D153" s="7"/>
      <c r="E153" s="55"/>
      <c r="F153" s="7"/>
      <c r="G153" s="56"/>
      <c r="H153" s="9"/>
      <c r="I153" s="9"/>
      <c r="J153" s="10"/>
      <c r="K153" s="9"/>
      <c r="L153" s="9"/>
      <c r="M153" s="11"/>
      <c r="N153" s="57"/>
      <c r="O153" s="8"/>
      <c r="P153" s="7"/>
      <c r="Q153" s="58"/>
    </row>
    <row r="154" spans="1:17" x14ac:dyDescent="0.25">
      <c r="A154" s="7" t="e">
        <f>VLOOKUP(B154,Plants!$A$2:$B$39,2,0)</f>
        <v>#N/A</v>
      </c>
      <c r="B154" s="7"/>
      <c r="C154" s="8"/>
      <c r="D154" s="7"/>
      <c r="E154" s="55"/>
      <c r="F154" s="7"/>
      <c r="G154" s="56"/>
      <c r="H154" s="9"/>
      <c r="I154" s="9"/>
      <c r="J154" s="10"/>
      <c r="K154" s="9"/>
      <c r="L154" s="9"/>
      <c r="M154" s="11"/>
      <c r="N154" s="57"/>
      <c r="O154" s="8"/>
      <c r="P154" s="7"/>
      <c r="Q154" s="58"/>
    </row>
    <row r="155" spans="1:17" x14ac:dyDescent="0.25">
      <c r="A155" s="7" t="e">
        <f>VLOOKUP(B155,Plants!$A$2:$B$39,2,0)</f>
        <v>#N/A</v>
      </c>
      <c r="B155" s="7"/>
      <c r="C155" s="8"/>
      <c r="D155" s="7"/>
      <c r="E155" s="55"/>
      <c r="F155" s="7"/>
      <c r="G155" s="56"/>
      <c r="H155" s="9"/>
      <c r="I155" s="9"/>
      <c r="J155" s="10"/>
      <c r="K155" s="9"/>
      <c r="L155" s="9"/>
      <c r="M155" s="11"/>
      <c r="N155" s="57"/>
      <c r="O155" s="8"/>
      <c r="P155" s="7"/>
      <c r="Q155" s="58"/>
    </row>
    <row r="156" spans="1:17" x14ac:dyDescent="0.25">
      <c r="A156" s="7" t="e">
        <f>VLOOKUP(B156,Plants!$A$2:$B$39,2,0)</f>
        <v>#N/A</v>
      </c>
      <c r="B156" s="7"/>
      <c r="C156" s="8"/>
      <c r="D156" s="7"/>
      <c r="E156" s="55"/>
      <c r="F156" s="7"/>
      <c r="G156" s="56"/>
      <c r="H156" s="9"/>
      <c r="I156" s="9"/>
      <c r="J156" s="10"/>
      <c r="K156" s="9"/>
      <c r="L156" s="9"/>
      <c r="M156" s="11"/>
      <c r="N156" s="57"/>
      <c r="O156" s="8"/>
      <c r="P156" s="7"/>
      <c r="Q156" s="12"/>
    </row>
    <row r="157" spans="1:17" x14ac:dyDescent="0.25">
      <c r="A157" s="7" t="e">
        <f>VLOOKUP(B157,Plants!$A$2:$B$39,2,0)</f>
        <v>#N/A</v>
      </c>
      <c r="B157" s="7"/>
      <c r="C157" s="8"/>
      <c r="D157" s="7"/>
      <c r="E157" s="55"/>
      <c r="F157" s="7"/>
      <c r="G157" s="56"/>
      <c r="H157" s="9"/>
      <c r="I157" s="9"/>
      <c r="J157" s="10"/>
      <c r="K157" s="9"/>
      <c r="L157" s="9"/>
      <c r="M157" s="11"/>
      <c r="N157" s="57"/>
      <c r="O157" s="8"/>
      <c r="P157" s="7"/>
      <c r="Q157" s="58"/>
    </row>
    <row r="158" spans="1:17" x14ac:dyDescent="0.25">
      <c r="A158" s="7" t="e">
        <f>VLOOKUP(B158,Plants!$A$2:$B$39,2,0)</f>
        <v>#N/A</v>
      </c>
      <c r="B158" s="7"/>
      <c r="C158" s="8"/>
      <c r="D158" s="7"/>
      <c r="E158" s="55"/>
      <c r="F158" s="7"/>
      <c r="G158" s="56"/>
      <c r="H158" s="9"/>
      <c r="I158" s="9"/>
      <c r="J158" s="10"/>
      <c r="K158" s="9"/>
      <c r="L158" s="9"/>
      <c r="M158" s="11"/>
      <c r="N158" s="57"/>
      <c r="O158" s="8"/>
      <c r="P158" s="7"/>
      <c r="Q158" s="12"/>
    </row>
    <row r="159" spans="1:17" x14ac:dyDescent="0.25">
      <c r="A159" s="7" t="e">
        <f>VLOOKUP(B159,Plants!$A$2:$B$39,2,0)</f>
        <v>#N/A</v>
      </c>
      <c r="B159" s="7"/>
      <c r="C159" s="8"/>
      <c r="D159" s="7"/>
      <c r="E159" s="55"/>
      <c r="F159" s="7"/>
      <c r="G159" s="56"/>
      <c r="H159" s="9"/>
      <c r="I159" s="9"/>
      <c r="J159" s="10"/>
      <c r="K159" s="9"/>
      <c r="L159" s="9"/>
      <c r="M159" s="11"/>
      <c r="N159" s="57"/>
      <c r="O159" s="8"/>
      <c r="P159" s="7"/>
      <c r="Q159" s="58"/>
    </row>
    <row r="160" spans="1:17" x14ac:dyDescent="0.25">
      <c r="A160" s="7" t="e">
        <f>VLOOKUP(B160,Plants!$A$2:$B$39,2,0)</f>
        <v>#N/A</v>
      </c>
      <c r="B160" s="7"/>
      <c r="C160" s="8"/>
      <c r="D160" s="7"/>
      <c r="E160" s="55"/>
      <c r="F160" s="7"/>
      <c r="G160" s="56"/>
      <c r="H160" s="9"/>
      <c r="I160" s="9"/>
      <c r="J160" s="10"/>
      <c r="K160" s="9"/>
      <c r="L160" s="9"/>
      <c r="M160" s="11"/>
      <c r="N160" s="57"/>
      <c r="O160" s="8"/>
      <c r="P160" s="7"/>
      <c r="Q160" s="58"/>
    </row>
    <row r="161" spans="1:17" x14ac:dyDescent="0.25">
      <c r="A161" s="7" t="e">
        <f>VLOOKUP(B161,Plants!$A$2:$B$39,2,0)</f>
        <v>#N/A</v>
      </c>
      <c r="B161" s="7"/>
      <c r="C161" s="8"/>
      <c r="D161" s="7"/>
      <c r="E161" s="55"/>
      <c r="F161" s="7"/>
      <c r="G161" s="56"/>
      <c r="H161" s="9"/>
      <c r="I161" s="9"/>
      <c r="J161" s="10"/>
      <c r="K161" s="9"/>
      <c r="L161" s="9"/>
      <c r="M161" s="11"/>
      <c r="N161" s="57"/>
      <c r="O161" s="8"/>
      <c r="P161" s="7"/>
      <c r="Q161" s="58"/>
    </row>
    <row r="162" spans="1:17" x14ac:dyDescent="0.25">
      <c r="A162" s="7" t="e">
        <f>VLOOKUP(B162,Plants!$A$2:$B$39,2,0)</f>
        <v>#N/A</v>
      </c>
      <c r="B162" s="7"/>
      <c r="C162" s="8"/>
      <c r="D162" s="7"/>
      <c r="E162" s="55"/>
      <c r="F162" s="7"/>
      <c r="G162" s="56"/>
      <c r="H162" s="9"/>
      <c r="I162" s="9"/>
      <c r="J162" s="10"/>
      <c r="K162" s="9"/>
      <c r="L162" s="9"/>
      <c r="M162" s="11"/>
      <c r="N162" s="57"/>
      <c r="O162" s="8"/>
      <c r="P162" s="7"/>
      <c r="Q162" s="58"/>
    </row>
    <row r="163" spans="1:17" x14ac:dyDescent="0.25">
      <c r="A163" s="7" t="e">
        <f>VLOOKUP(B163,Plants!$A$2:$B$39,2,0)</f>
        <v>#N/A</v>
      </c>
      <c r="B163" s="7"/>
      <c r="C163" s="8"/>
      <c r="D163" s="7"/>
      <c r="E163" s="55"/>
      <c r="F163" s="7"/>
      <c r="G163" s="56"/>
      <c r="H163" s="9"/>
      <c r="I163" s="9"/>
      <c r="J163" s="10"/>
      <c r="K163" s="9"/>
      <c r="L163" s="9"/>
      <c r="M163" s="11"/>
      <c r="N163" s="57"/>
      <c r="O163" s="8"/>
      <c r="P163" s="7"/>
      <c r="Q163" s="58"/>
    </row>
    <row r="164" spans="1:17" x14ac:dyDescent="0.25">
      <c r="A164" s="7" t="e">
        <f>VLOOKUP(B164,Plants!$A$2:$B$39,2,0)</f>
        <v>#N/A</v>
      </c>
      <c r="B164" s="7"/>
      <c r="C164" s="8"/>
      <c r="D164" s="7"/>
      <c r="E164" s="55"/>
      <c r="F164" s="7"/>
      <c r="G164" s="56"/>
      <c r="H164" s="9"/>
      <c r="I164" s="9"/>
      <c r="J164" s="10"/>
      <c r="K164" s="9"/>
      <c r="L164" s="9"/>
      <c r="M164" s="11"/>
      <c r="N164" s="57"/>
      <c r="O164" s="8"/>
      <c r="P164" s="7"/>
      <c r="Q164" s="58"/>
    </row>
    <row r="165" spans="1:17" x14ac:dyDescent="0.25">
      <c r="A165" s="7" t="e">
        <f>VLOOKUP(B165,Plants!$A$2:$B$39,2,0)</f>
        <v>#N/A</v>
      </c>
      <c r="B165" s="7"/>
      <c r="C165" s="8"/>
      <c r="D165" s="7"/>
      <c r="E165" s="55"/>
      <c r="F165" s="7"/>
      <c r="G165" s="56"/>
      <c r="H165" s="9"/>
      <c r="I165" s="9"/>
      <c r="J165" s="10"/>
      <c r="K165" s="9"/>
      <c r="L165" s="9"/>
      <c r="M165" s="11"/>
      <c r="N165" s="57"/>
      <c r="O165" s="8"/>
      <c r="P165" s="7"/>
      <c r="Q165" s="12"/>
    </row>
    <row r="166" spans="1:17" x14ac:dyDescent="0.25">
      <c r="A166" s="7" t="e">
        <f>VLOOKUP(B166,Plants!$A$2:$B$39,2,0)</f>
        <v>#N/A</v>
      </c>
      <c r="B166" s="7"/>
      <c r="C166" s="8"/>
      <c r="D166" s="7"/>
      <c r="E166" s="55"/>
      <c r="F166" s="7"/>
      <c r="G166" s="56"/>
      <c r="H166" s="9"/>
      <c r="I166" s="9"/>
      <c r="J166" s="10"/>
      <c r="K166" s="9"/>
      <c r="L166" s="9"/>
      <c r="M166" s="11"/>
      <c r="N166" s="57"/>
      <c r="O166" s="8"/>
      <c r="P166" s="7"/>
      <c r="Q166" s="58"/>
    </row>
    <row r="167" spans="1:17" x14ac:dyDescent="0.25">
      <c r="A167" s="7" t="e">
        <f>VLOOKUP(B167,Plants!$A$2:$B$39,2,0)</f>
        <v>#N/A</v>
      </c>
      <c r="B167" s="7"/>
      <c r="C167" s="8"/>
      <c r="D167" s="7"/>
      <c r="E167" s="55"/>
      <c r="F167" s="7"/>
      <c r="G167" s="56"/>
      <c r="H167" s="9"/>
      <c r="I167" s="9"/>
      <c r="J167" s="10"/>
      <c r="K167" s="9"/>
      <c r="L167" s="9"/>
      <c r="M167" s="11"/>
      <c r="N167" s="57"/>
      <c r="O167" s="8"/>
      <c r="P167" s="7"/>
      <c r="Q167" s="58"/>
    </row>
    <row r="168" spans="1:17" x14ac:dyDescent="0.25">
      <c r="A168" s="7" t="e">
        <f>VLOOKUP(B168,Plants!$A$2:$B$39,2,0)</f>
        <v>#N/A</v>
      </c>
      <c r="B168" s="7"/>
      <c r="C168" s="8"/>
      <c r="D168" s="7"/>
      <c r="E168" s="55"/>
      <c r="F168" s="7"/>
      <c r="G168" s="56"/>
      <c r="H168" s="9"/>
      <c r="I168" s="9"/>
      <c r="J168" s="10"/>
      <c r="K168" s="9"/>
      <c r="L168" s="9"/>
      <c r="M168" s="11"/>
      <c r="N168" s="57"/>
      <c r="O168" s="8"/>
      <c r="P168" s="7"/>
      <c r="Q168" s="58"/>
    </row>
    <row r="169" spans="1:17" x14ac:dyDescent="0.25">
      <c r="A169" s="7" t="e">
        <f>VLOOKUP(B169,Plants!$A$2:$B$39,2,0)</f>
        <v>#N/A</v>
      </c>
      <c r="B169" s="7"/>
      <c r="C169" s="8"/>
      <c r="D169" s="7"/>
      <c r="E169" s="55"/>
      <c r="F169" s="7"/>
      <c r="G169" s="56"/>
      <c r="H169" s="9"/>
      <c r="I169" s="9"/>
      <c r="J169" s="10"/>
      <c r="K169" s="9"/>
      <c r="L169" s="9"/>
      <c r="M169" s="11"/>
      <c r="N169" s="57"/>
      <c r="O169" s="8"/>
      <c r="P169" s="7"/>
      <c r="Q169" s="58"/>
    </row>
    <row r="170" spans="1:17" x14ac:dyDescent="0.25">
      <c r="A170" s="7" t="e">
        <f>VLOOKUP(B170,Plants!$A$2:$B$39,2,0)</f>
        <v>#N/A</v>
      </c>
      <c r="B170" s="7"/>
      <c r="C170" s="8"/>
      <c r="D170" s="7"/>
      <c r="E170" s="55"/>
      <c r="F170" s="7"/>
      <c r="G170" s="56"/>
      <c r="H170" s="9"/>
      <c r="I170" s="9"/>
      <c r="J170" s="10"/>
      <c r="K170" s="9"/>
      <c r="L170" s="9"/>
      <c r="M170" s="11"/>
      <c r="N170" s="57"/>
      <c r="O170" s="8"/>
      <c r="P170" s="7"/>
      <c r="Q170" s="58"/>
    </row>
    <row r="171" spans="1:17" x14ac:dyDescent="0.25">
      <c r="A171" s="7" t="e">
        <f>VLOOKUP(B171,Plants!$A$2:$B$39,2,0)</f>
        <v>#N/A</v>
      </c>
      <c r="B171" s="7"/>
      <c r="C171" s="8"/>
      <c r="D171" s="7"/>
      <c r="E171" s="55"/>
      <c r="F171" s="7"/>
      <c r="G171" s="56"/>
      <c r="H171" s="9"/>
      <c r="I171" s="9"/>
      <c r="J171" s="10"/>
      <c r="K171" s="9"/>
      <c r="L171" s="9"/>
      <c r="M171" s="11"/>
      <c r="N171" s="57"/>
      <c r="O171" s="8"/>
      <c r="P171" s="7"/>
      <c r="Q171" s="58"/>
    </row>
    <row r="172" spans="1:17" x14ac:dyDescent="0.25">
      <c r="A172" s="7" t="e">
        <f>VLOOKUP(B172,Plants!$A$2:$B$39,2,0)</f>
        <v>#N/A</v>
      </c>
      <c r="B172" s="7"/>
      <c r="C172" s="8"/>
      <c r="D172" s="7"/>
      <c r="E172" s="55"/>
      <c r="F172" s="7"/>
      <c r="G172" s="56"/>
      <c r="H172" s="9"/>
      <c r="I172" s="9"/>
      <c r="J172" s="10"/>
      <c r="K172" s="9"/>
      <c r="L172" s="9"/>
      <c r="M172" s="11"/>
      <c r="N172" s="57"/>
      <c r="O172" s="8"/>
      <c r="P172" s="7"/>
      <c r="Q172" s="58"/>
    </row>
    <row r="173" spans="1:17" x14ac:dyDescent="0.25">
      <c r="A173" s="7" t="e">
        <f>VLOOKUP(B173,Plants!$A$2:$B$39,2,0)</f>
        <v>#N/A</v>
      </c>
      <c r="B173" s="7"/>
      <c r="C173" s="8"/>
      <c r="D173" s="7"/>
      <c r="E173" s="55"/>
      <c r="F173" s="7"/>
      <c r="G173" s="56"/>
      <c r="H173" s="9"/>
      <c r="I173" s="9"/>
      <c r="J173" s="10"/>
      <c r="K173" s="9"/>
      <c r="L173" s="9"/>
      <c r="M173" s="11"/>
      <c r="N173" s="57"/>
      <c r="O173" s="8"/>
      <c r="P173" s="7"/>
      <c r="Q173" s="58"/>
    </row>
    <row r="174" spans="1:17" x14ac:dyDescent="0.25">
      <c r="A174" s="7" t="e">
        <f>VLOOKUP(B174,Plants!$A$2:$B$39,2,0)</f>
        <v>#N/A</v>
      </c>
      <c r="B174" s="7"/>
      <c r="C174" s="8"/>
      <c r="D174" s="7"/>
      <c r="E174" s="55"/>
      <c r="F174" s="7"/>
      <c r="G174" s="56"/>
      <c r="H174" s="9"/>
      <c r="I174" s="9"/>
      <c r="J174" s="10"/>
      <c r="K174" s="9"/>
      <c r="L174" s="9"/>
      <c r="M174" s="11"/>
      <c r="N174" s="57"/>
      <c r="O174" s="8"/>
      <c r="P174" s="7"/>
      <c r="Q174" s="58"/>
    </row>
    <row r="175" spans="1:17" x14ac:dyDescent="0.25">
      <c r="A175" s="7" t="e">
        <f>VLOOKUP(B175,Plants!$A$2:$B$39,2,0)</f>
        <v>#N/A</v>
      </c>
      <c r="B175" s="7"/>
      <c r="C175" s="8"/>
      <c r="D175" s="7"/>
      <c r="E175" s="55"/>
      <c r="F175" s="7"/>
      <c r="G175" s="56"/>
      <c r="H175" s="9"/>
      <c r="I175" s="9"/>
      <c r="J175" s="10"/>
      <c r="K175" s="9"/>
      <c r="L175" s="9"/>
      <c r="M175" s="11"/>
      <c r="N175" s="57"/>
      <c r="O175" s="8"/>
      <c r="P175" s="7"/>
      <c r="Q175" s="58"/>
    </row>
    <row r="176" spans="1:17" x14ac:dyDescent="0.25">
      <c r="A176" s="7" t="e">
        <f>VLOOKUP(B176,Plants!$A$2:$B$39,2,0)</f>
        <v>#N/A</v>
      </c>
      <c r="B176" s="7"/>
      <c r="C176" s="8"/>
      <c r="D176" s="7"/>
      <c r="E176" s="55"/>
      <c r="F176" s="7"/>
      <c r="G176" s="56"/>
      <c r="H176" s="9"/>
      <c r="I176" s="9"/>
      <c r="J176" s="10"/>
      <c r="K176" s="9"/>
      <c r="L176" s="9"/>
      <c r="M176" s="11"/>
      <c r="N176" s="57"/>
      <c r="O176" s="8"/>
      <c r="P176" s="7"/>
      <c r="Q176" s="58"/>
    </row>
    <row r="177" spans="1:17" x14ac:dyDescent="0.25">
      <c r="A177" s="7" t="e">
        <f>VLOOKUP(B177,Plants!$A$2:$B$39,2,0)</f>
        <v>#N/A</v>
      </c>
      <c r="B177" s="7"/>
      <c r="C177" s="8"/>
      <c r="D177" s="7"/>
      <c r="E177" s="55"/>
      <c r="F177" s="7"/>
      <c r="G177" s="56"/>
      <c r="H177" s="9"/>
      <c r="I177" s="9"/>
      <c r="J177" s="10"/>
      <c r="K177" s="9"/>
      <c r="L177" s="9"/>
      <c r="M177" s="11"/>
      <c r="N177" s="57"/>
      <c r="O177" s="8"/>
      <c r="P177" s="7"/>
      <c r="Q177" s="58"/>
    </row>
    <row r="178" spans="1:17" x14ac:dyDescent="0.25">
      <c r="A178" s="7" t="e">
        <f>VLOOKUP(B178,Plants!$A$2:$B$39,2,0)</f>
        <v>#N/A</v>
      </c>
      <c r="B178" s="7"/>
      <c r="C178" s="8"/>
      <c r="D178" s="7"/>
      <c r="E178" s="55"/>
      <c r="F178" s="7"/>
      <c r="G178" s="56"/>
      <c r="H178" s="9"/>
      <c r="I178" s="9"/>
      <c r="J178" s="10"/>
      <c r="K178" s="9"/>
      <c r="L178" s="9"/>
      <c r="M178" s="11"/>
      <c r="N178" s="57"/>
      <c r="O178" s="8"/>
      <c r="P178" s="7"/>
      <c r="Q178" s="58"/>
    </row>
    <row r="179" spans="1:17" x14ac:dyDescent="0.25">
      <c r="A179" s="7" t="e">
        <f>VLOOKUP(B179,Plants!$A$2:$B$39,2,0)</f>
        <v>#N/A</v>
      </c>
      <c r="B179" s="7"/>
      <c r="C179" s="8"/>
      <c r="D179" s="7"/>
      <c r="E179" s="55"/>
      <c r="F179" s="7"/>
      <c r="G179" s="56"/>
      <c r="H179" s="9"/>
      <c r="I179" s="9"/>
      <c r="J179" s="10"/>
      <c r="K179" s="9"/>
      <c r="L179" s="9"/>
      <c r="M179" s="11"/>
      <c r="N179" s="57"/>
      <c r="O179" s="8"/>
      <c r="P179" s="7"/>
      <c r="Q179" s="58"/>
    </row>
    <row r="180" spans="1:17" x14ac:dyDescent="0.25">
      <c r="A180" s="7" t="e">
        <f>VLOOKUP(B180,Plants!$A$2:$B$39,2,0)</f>
        <v>#N/A</v>
      </c>
      <c r="B180" s="7"/>
      <c r="C180" s="8"/>
      <c r="D180" s="7"/>
      <c r="E180" s="55"/>
      <c r="F180" s="7"/>
      <c r="G180" s="56"/>
      <c r="H180" s="9"/>
      <c r="I180" s="9"/>
      <c r="J180" s="10"/>
      <c r="K180" s="9"/>
      <c r="L180" s="9"/>
      <c r="M180" s="11"/>
      <c r="N180" s="57"/>
      <c r="O180" s="8"/>
      <c r="P180" s="7"/>
      <c r="Q180" s="58"/>
    </row>
    <row r="181" spans="1:17" x14ac:dyDescent="0.25">
      <c r="A181" s="7" t="e">
        <f>VLOOKUP(B181,Plants!$A$2:$B$39,2,0)</f>
        <v>#N/A</v>
      </c>
      <c r="B181" s="7"/>
      <c r="C181" s="8"/>
      <c r="D181" s="7"/>
      <c r="E181" s="55"/>
      <c r="F181" s="7"/>
      <c r="G181" s="56"/>
      <c r="H181" s="9"/>
      <c r="I181" s="9"/>
      <c r="J181" s="10"/>
      <c r="K181" s="9"/>
      <c r="L181" s="9"/>
      <c r="M181" s="11"/>
      <c r="N181" s="57"/>
      <c r="O181" s="8"/>
      <c r="P181" s="7"/>
      <c r="Q181" s="58"/>
    </row>
    <row r="182" spans="1:17" x14ac:dyDescent="0.25">
      <c r="A182" s="7" t="e">
        <f>VLOOKUP(B182,Plants!$A$2:$B$39,2,0)</f>
        <v>#N/A</v>
      </c>
      <c r="B182" s="7"/>
      <c r="C182" s="8"/>
      <c r="D182" s="7"/>
      <c r="E182" s="55"/>
      <c r="F182" s="7"/>
      <c r="G182" s="56"/>
      <c r="H182" s="9"/>
      <c r="I182" s="9"/>
      <c r="J182" s="10"/>
      <c r="K182" s="9"/>
      <c r="L182" s="9"/>
      <c r="M182" s="11"/>
      <c r="N182" s="57"/>
      <c r="O182" s="8"/>
      <c r="P182" s="7"/>
      <c r="Q182" s="58"/>
    </row>
    <row r="183" spans="1:17" x14ac:dyDescent="0.25">
      <c r="A183" s="7" t="e">
        <f>VLOOKUP(B183,Plants!$A$2:$B$39,2,0)</f>
        <v>#N/A</v>
      </c>
      <c r="B183" s="7"/>
      <c r="C183" s="8"/>
      <c r="D183" s="7"/>
      <c r="E183" s="55"/>
      <c r="F183" s="7"/>
      <c r="G183" s="56"/>
      <c r="H183" s="9"/>
      <c r="I183" s="9"/>
      <c r="J183" s="10"/>
      <c r="K183" s="9"/>
      <c r="L183" s="9"/>
      <c r="M183" s="11"/>
      <c r="N183" s="57"/>
      <c r="O183" s="8"/>
      <c r="P183" s="7"/>
      <c r="Q183" s="58"/>
    </row>
    <row r="184" spans="1:17" x14ac:dyDescent="0.25">
      <c r="A184" s="7" t="e">
        <f>VLOOKUP(B184,Plants!$A$2:$B$39,2,0)</f>
        <v>#N/A</v>
      </c>
      <c r="B184" s="7"/>
      <c r="C184" s="8"/>
      <c r="D184" s="7"/>
      <c r="E184" s="55"/>
      <c r="F184" s="7"/>
      <c r="G184" s="56"/>
      <c r="H184" s="9"/>
      <c r="I184" s="9"/>
      <c r="J184" s="10"/>
      <c r="K184" s="9"/>
      <c r="L184" s="9"/>
      <c r="M184" s="11"/>
      <c r="N184" s="57"/>
      <c r="O184" s="8"/>
      <c r="P184" s="7"/>
      <c r="Q184" s="58"/>
    </row>
    <row r="185" spans="1:17" x14ac:dyDescent="0.25">
      <c r="A185" s="7" t="e">
        <f>VLOOKUP(B185,Plants!$A$2:$B$39,2,0)</f>
        <v>#N/A</v>
      </c>
      <c r="B185" s="7"/>
      <c r="C185" s="8"/>
      <c r="D185" s="7"/>
      <c r="E185" s="55"/>
      <c r="F185" s="7"/>
      <c r="G185" s="56"/>
      <c r="H185" s="9"/>
      <c r="I185" s="9"/>
      <c r="J185" s="10"/>
      <c r="K185" s="9"/>
      <c r="L185" s="9"/>
      <c r="M185" s="11"/>
      <c r="N185" s="57"/>
      <c r="O185" s="8"/>
      <c r="P185" s="7"/>
      <c r="Q185" s="58"/>
    </row>
    <row r="186" spans="1:17" x14ac:dyDescent="0.25">
      <c r="A186" s="7" t="e">
        <f>VLOOKUP(B186,Plants!$A$2:$B$39,2,0)</f>
        <v>#N/A</v>
      </c>
      <c r="B186" s="7"/>
      <c r="C186" s="8"/>
      <c r="D186" s="7"/>
      <c r="E186" s="55"/>
      <c r="F186" s="7"/>
      <c r="G186" s="56"/>
      <c r="H186" s="9"/>
      <c r="I186" s="9"/>
      <c r="J186" s="10"/>
      <c r="K186" s="9"/>
      <c r="L186" s="9"/>
      <c r="M186" s="11"/>
      <c r="N186" s="57"/>
      <c r="O186" s="8"/>
      <c r="P186" s="7"/>
      <c r="Q186" s="58"/>
    </row>
    <row r="187" spans="1:17" x14ac:dyDescent="0.25">
      <c r="A187" s="7" t="e">
        <f>VLOOKUP(B187,Plants!$A$2:$B$39,2,0)</f>
        <v>#N/A</v>
      </c>
      <c r="B187" s="7"/>
      <c r="C187" s="8"/>
      <c r="D187" s="7"/>
      <c r="E187" s="55"/>
      <c r="F187" s="7"/>
      <c r="G187" s="56"/>
      <c r="H187" s="9"/>
      <c r="I187" s="9"/>
      <c r="J187" s="10"/>
      <c r="K187" s="9"/>
      <c r="L187" s="9"/>
      <c r="M187" s="11"/>
      <c r="N187" s="57"/>
      <c r="O187" s="8"/>
      <c r="P187" s="7"/>
      <c r="Q187" s="58"/>
    </row>
    <row r="188" spans="1:17" x14ac:dyDescent="0.25">
      <c r="A188" s="7" t="e">
        <f>VLOOKUP(B188,Plants!$A$2:$B$39,2,0)</f>
        <v>#N/A</v>
      </c>
      <c r="B188" s="7"/>
      <c r="C188" s="8"/>
      <c r="D188" s="7"/>
      <c r="E188" s="55"/>
      <c r="F188" s="7"/>
      <c r="G188" s="56"/>
      <c r="H188" s="9"/>
      <c r="I188" s="9"/>
      <c r="J188" s="10"/>
      <c r="K188" s="9"/>
      <c r="L188" s="9"/>
      <c r="M188" s="11"/>
      <c r="N188" s="57"/>
      <c r="O188" s="8"/>
      <c r="P188" s="7"/>
      <c r="Q188" s="58"/>
    </row>
    <row r="189" spans="1:17" x14ac:dyDescent="0.25">
      <c r="A189" s="7" t="e">
        <f>VLOOKUP(B189,Plants!$A$2:$B$39,2,0)</f>
        <v>#N/A</v>
      </c>
      <c r="B189" s="7"/>
      <c r="C189" s="8"/>
      <c r="D189" s="7"/>
      <c r="E189" s="55"/>
      <c r="F189" s="7"/>
      <c r="G189" s="56"/>
      <c r="H189" s="9"/>
      <c r="I189" s="9"/>
      <c r="J189" s="10"/>
      <c r="K189" s="9"/>
      <c r="L189" s="9"/>
      <c r="M189" s="11"/>
      <c r="N189" s="57"/>
      <c r="O189" s="8"/>
      <c r="P189" s="7"/>
      <c r="Q189" s="58"/>
    </row>
    <row r="190" spans="1:17" x14ac:dyDescent="0.25">
      <c r="A190" s="7" t="e">
        <f>VLOOKUP(B190,Plants!$A$2:$B$39,2,0)</f>
        <v>#N/A</v>
      </c>
      <c r="B190" s="7"/>
      <c r="C190" s="8"/>
      <c r="D190" s="7"/>
      <c r="E190" s="55"/>
      <c r="F190" s="7"/>
      <c r="G190" s="56"/>
      <c r="H190" s="9"/>
      <c r="I190" s="9"/>
      <c r="J190" s="10"/>
      <c r="K190" s="9"/>
      <c r="L190" s="9"/>
      <c r="M190" s="11"/>
      <c r="N190" s="57"/>
      <c r="O190" s="8"/>
      <c r="P190" s="7"/>
      <c r="Q190" s="58"/>
    </row>
    <row r="191" spans="1:17" x14ac:dyDescent="0.25">
      <c r="A191" s="7" t="e">
        <f>VLOOKUP(B191,Plants!$A$2:$B$39,2,0)</f>
        <v>#N/A</v>
      </c>
      <c r="B191" s="7"/>
      <c r="C191" s="8"/>
      <c r="D191" s="7"/>
      <c r="E191" s="55"/>
      <c r="F191" s="7"/>
      <c r="G191" s="56"/>
      <c r="H191" s="9"/>
      <c r="I191" s="9"/>
      <c r="J191" s="10"/>
      <c r="K191" s="9"/>
      <c r="L191" s="9"/>
      <c r="M191" s="11"/>
      <c r="N191" s="57"/>
      <c r="O191" s="8"/>
      <c r="P191" s="7"/>
      <c r="Q191" s="58"/>
    </row>
    <row r="192" spans="1:17" x14ac:dyDescent="0.25">
      <c r="A192" s="7" t="e">
        <f>VLOOKUP(B192,Plants!$A$2:$B$39,2,0)</f>
        <v>#N/A</v>
      </c>
      <c r="B192" s="7"/>
      <c r="C192" s="8"/>
      <c r="D192" s="7"/>
      <c r="E192" s="55"/>
      <c r="F192" s="7"/>
      <c r="G192" s="56"/>
      <c r="H192" s="9"/>
      <c r="I192" s="9"/>
      <c r="J192" s="10"/>
      <c r="K192" s="9"/>
      <c r="L192" s="9"/>
      <c r="M192" s="11"/>
      <c r="N192" s="57"/>
      <c r="O192" s="8"/>
      <c r="P192" s="7"/>
      <c r="Q192" s="58"/>
    </row>
    <row r="193" spans="1:17" x14ac:dyDescent="0.25">
      <c r="A193" s="7" t="e">
        <f>VLOOKUP(B193,Plants!$A$2:$B$39,2,0)</f>
        <v>#N/A</v>
      </c>
      <c r="B193" s="7"/>
      <c r="C193" s="8"/>
      <c r="D193" s="7"/>
      <c r="E193" s="55"/>
      <c r="F193" s="7"/>
      <c r="G193" s="56"/>
      <c r="H193" s="9"/>
      <c r="I193" s="9"/>
      <c r="J193" s="10"/>
      <c r="K193" s="9"/>
      <c r="L193" s="9"/>
      <c r="M193" s="11"/>
      <c r="N193" s="57"/>
      <c r="O193" s="8"/>
      <c r="P193" s="7"/>
      <c r="Q193" s="58"/>
    </row>
    <row r="194" spans="1:17" x14ac:dyDescent="0.25">
      <c r="A194" s="7" t="e">
        <f>VLOOKUP(B194,Plants!$A$2:$B$39,2,0)</f>
        <v>#N/A</v>
      </c>
      <c r="B194" s="7"/>
      <c r="C194" s="8"/>
      <c r="D194" s="7"/>
      <c r="E194" s="55"/>
      <c r="F194" s="7"/>
      <c r="G194" s="56"/>
      <c r="H194" s="9"/>
      <c r="I194" s="9"/>
      <c r="J194" s="10"/>
      <c r="K194" s="9"/>
      <c r="L194" s="9"/>
      <c r="M194" s="11"/>
      <c r="N194" s="57"/>
      <c r="O194" s="8"/>
      <c r="P194" s="7"/>
      <c r="Q194" s="58"/>
    </row>
    <row r="195" spans="1:17" x14ac:dyDescent="0.25">
      <c r="A195" s="7" t="e">
        <f>VLOOKUP(B195,Plants!$A$2:$B$39,2,0)</f>
        <v>#N/A</v>
      </c>
      <c r="B195" s="7"/>
      <c r="C195" s="8"/>
      <c r="D195" s="7"/>
      <c r="E195" s="55"/>
      <c r="F195" s="7"/>
      <c r="G195" s="56"/>
      <c r="H195" s="9"/>
      <c r="I195" s="9"/>
      <c r="J195" s="10"/>
      <c r="K195" s="9"/>
      <c r="L195" s="9"/>
      <c r="M195" s="11"/>
      <c r="N195" s="57"/>
      <c r="O195" s="8"/>
      <c r="P195" s="7"/>
      <c r="Q195" s="58"/>
    </row>
    <row r="196" spans="1:17" x14ac:dyDescent="0.25">
      <c r="A196" s="7" t="e">
        <f>VLOOKUP(B196,Plants!$A$2:$B$39,2,0)</f>
        <v>#N/A</v>
      </c>
      <c r="B196" s="7"/>
      <c r="C196" s="8"/>
      <c r="D196" s="7"/>
      <c r="E196" s="55"/>
      <c r="F196" s="7"/>
      <c r="G196" s="56"/>
      <c r="H196" s="9"/>
      <c r="I196" s="9"/>
      <c r="J196" s="10"/>
      <c r="K196" s="9"/>
      <c r="L196" s="9"/>
      <c r="M196" s="11"/>
      <c r="N196" s="57"/>
      <c r="O196" s="8"/>
      <c r="P196" s="7"/>
      <c r="Q196" s="58"/>
    </row>
    <row r="197" spans="1:17" x14ac:dyDescent="0.25">
      <c r="A197" s="7" t="e">
        <f>VLOOKUP(B197,Plants!$A$2:$B$39,2,0)</f>
        <v>#N/A</v>
      </c>
      <c r="B197" s="7"/>
      <c r="C197" s="8"/>
      <c r="D197" s="7"/>
      <c r="E197" s="55"/>
      <c r="F197" s="7"/>
      <c r="G197" s="56"/>
      <c r="H197" s="9"/>
      <c r="I197" s="9"/>
      <c r="J197" s="10"/>
      <c r="K197" s="9"/>
      <c r="L197" s="9"/>
      <c r="M197" s="11"/>
      <c r="N197" s="57"/>
      <c r="O197" s="8"/>
      <c r="P197" s="7"/>
      <c r="Q197" s="58"/>
    </row>
    <row r="198" spans="1:17" x14ac:dyDescent="0.25">
      <c r="A198" s="7" t="e">
        <f>VLOOKUP(B198,Plants!$A$2:$B$39,2,0)</f>
        <v>#N/A</v>
      </c>
      <c r="B198" s="7"/>
      <c r="C198" s="8"/>
      <c r="D198" s="7"/>
      <c r="E198" s="55"/>
      <c r="F198" s="7"/>
      <c r="G198" s="56"/>
      <c r="H198" s="9"/>
      <c r="I198" s="9"/>
      <c r="J198" s="10"/>
      <c r="K198" s="9"/>
      <c r="L198" s="9"/>
      <c r="M198" s="11"/>
      <c r="N198" s="57"/>
      <c r="O198" s="8"/>
      <c r="P198" s="7"/>
      <c r="Q198" s="58"/>
    </row>
    <row r="199" spans="1:17" x14ac:dyDescent="0.25">
      <c r="A199" s="7" t="e">
        <f>VLOOKUP(B199,Plants!$A$2:$B$39,2,0)</f>
        <v>#N/A</v>
      </c>
      <c r="B199" s="7"/>
      <c r="C199" s="8"/>
      <c r="D199" s="7"/>
      <c r="E199" s="55"/>
      <c r="F199" s="7"/>
      <c r="G199" s="56"/>
      <c r="H199" s="9"/>
      <c r="I199" s="9"/>
      <c r="J199" s="10"/>
      <c r="K199" s="9"/>
      <c r="L199" s="9"/>
      <c r="M199" s="11"/>
      <c r="N199" s="57"/>
      <c r="O199" s="8"/>
      <c r="P199" s="7"/>
      <c r="Q199" s="58"/>
    </row>
    <row r="200" spans="1:17" x14ac:dyDescent="0.25">
      <c r="A200" s="7" t="e">
        <f>VLOOKUP(B200,Plants!$A$2:$B$39,2,0)</f>
        <v>#N/A</v>
      </c>
      <c r="B200" s="7"/>
      <c r="C200" s="8"/>
      <c r="D200" s="7"/>
      <c r="E200" s="55"/>
      <c r="F200" s="7"/>
      <c r="G200" s="56"/>
      <c r="H200" s="9"/>
      <c r="I200" s="9"/>
      <c r="J200" s="10"/>
      <c r="K200" s="9"/>
      <c r="L200" s="9"/>
      <c r="M200" s="11"/>
      <c r="N200" s="57"/>
      <c r="O200" s="8"/>
      <c r="P200" s="7"/>
      <c r="Q200" s="58"/>
    </row>
    <row r="201" spans="1:17" x14ac:dyDescent="0.25">
      <c r="A201" s="7" t="e">
        <f>VLOOKUP(B201,Plants!$A$2:$B$39,2,0)</f>
        <v>#N/A</v>
      </c>
      <c r="B201" s="7"/>
      <c r="C201" s="8"/>
      <c r="D201" s="7"/>
      <c r="E201" s="55"/>
      <c r="F201" s="7"/>
      <c r="G201" s="56"/>
      <c r="H201" s="9"/>
      <c r="I201" s="9"/>
      <c r="J201" s="10"/>
      <c r="K201" s="9"/>
      <c r="L201" s="9"/>
      <c r="M201" s="11"/>
      <c r="N201" s="57"/>
      <c r="O201" s="8"/>
      <c r="P201" s="7"/>
      <c r="Q201" s="58"/>
    </row>
    <row r="202" spans="1:17" x14ac:dyDescent="0.25">
      <c r="A202" s="7" t="e">
        <f>VLOOKUP(B202,Plants!$A$2:$B$39,2,0)</f>
        <v>#N/A</v>
      </c>
      <c r="B202" s="7"/>
      <c r="C202" s="8"/>
      <c r="D202" s="7"/>
      <c r="E202" s="55"/>
      <c r="F202" s="7"/>
      <c r="G202" s="56"/>
      <c r="H202" s="9"/>
      <c r="I202" s="9"/>
      <c r="J202" s="10"/>
      <c r="K202" s="9"/>
      <c r="L202" s="9"/>
      <c r="M202" s="11"/>
      <c r="N202" s="57"/>
      <c r="O202" s="8"/>
      <c r="P202" s="7"/>
      <c r="Q202" s="12"/>
    </row>
    <row r="203" spans="1:17" x14ac:dyDescent="0.25">
      <c r="A203" s="7" t="e">
        <f>VLOOKUP(B203,Plants!$A$2:$B$39,2,0)</f>
        <v>#N/A</v>
      </c>
      <c r="B203" s="7"/>
      <c r="C203" s="8"/>
      <c r="D203" s="7"/>
      <c r="E203" s="55"/>
      <c r="F203" s="7"/>
      <c r="G203" s="56"/>
      <c r="H203" s="9"/>
      <c r="I203" s="9"/>
      <c r="J203" s="10"/>
      <c r="K203" s="9"/>
      <c r="L203" s="9"/>
      <c r="M203" s="11"/>
      <c r="N203" s="57"/>
      <c r="O203" s="8"/>
      <c r="P203" s="7"/>
      <c r="Q203" s="58"/>
    </row>
    <row r="204" spans="1:17" x14ac:dyDescent="0.25">
      <c r="A204" s="7" t="e">
        <f>VLOOKUP(B204,Plants!$A$2:$B$39,2,0)</f>
        <v>#N/A</v>
      </c>
      <c r="B204" s="7"/>
      <c r="C204" s="8"/>
      <c r="D204" s="7"/>
      <c r="E204" s="55"/>
      <c r="F204" s="7"/>
      <c r="G204" s="56"/>
      <c r="H204" s="9"/>
      <c r="I204" s="9"/>
      <c r="J204" s="10"/>
      <c r="K204" s="9"/>
      <c r="L204" s="9"/>
      <c r="M204" s="11"/>
      <c r="N204" s="57"/>
      <c r="O204" s="8"/>
      <c r="P204" s="7"/>
      <c r="Q204" s="58"/>
    </row>
    <row r="205" spans="1:17" x14ac:dyDescent="0.25">
      <c r="A205" s="7" t="e">
        <f>VLOOKUP(B205,Plants!$A$2:$B$39,2,0)</f>
        <v>#N/A</v>
      </c>
      <c r="B205" s="7"/>
      <c r="C205" s="8"/>
      <c r="D205" s="7"/>
      <c r="E205" s="55"/>
      <c r="F205" s="7"/>
      <c r="G205" s="56"/>
      <c r="H205" s="9"/>
      <c r="I205" s="9"/>
      <c r="J205" s="10"/>
      <c r="K205" s="9"/>
      <c r="L205" s="9"/>
      <c r="M205" s="11"/>
      <c r="N205" s="57"/>
      <c r="O205" s="8"/>
      <c r="P205" s="7"/>
      <c r="Q205" s="58"/>
    </row>
    <row r="206" spans="1:17" x14ac:dyDescent="0.25">
      <c r="A206" s="7" t="e">
        <f>VLOOKUP(B206,Plants!$A$2:$B$39,2,0)</f>
        <v>#N/A</v>
      </c>
      <c r="B206" s="7"/>
      <c r="C206" s="8"/>
      <c r="D206" s="7"/>
      <c r="E206" s="55"/>
      <c r="F206" s="7"/>
      <c r="G206" s="56"/>
      <c r="H206" s="9"/>
      <c r="I206" s="9"/>
      <c r="J206" s="10"/>
      <c r="K206" s="9"/>
      <c r="L206" s="9"/>
      <c r="M206" s="11"/>
      <c r="N206" s="57"/>
      <c r="O206" s="8"/>
      <c r="P206" s="7"/>
      <c r="Q206" s="58"/>
    </row>
    <row r="207" spans="1:17" x14ac:dyDescent="0.25">
      <c r="A207" s="7" t="e">
        <f>VLOOKUP(B207,Plants!$A$2:$B$39,2,0)</f>
        <v>#N/A</v>
      </c>
      <c r="B207" s="7"/>
      <c r="C207" s="8"/>
      <c r="D207" s="7"/>
      <c r="E207" s="55"/>
      <c r="F207" s="7"/>
      <c r="G207" s="56"/>
      <c r="H207" s="9"/>
      <c r="I207" s="9"/>
      <c r="J207" s="10"/>
      <c r="K207" s="9"/>
      <c r="L207" s="9"/>
      <c r="M207" s="11"/>
      <c r="N207" s="57"/>
      <c r="O207" s="8"/>
      <c r="P207" s="7"/>
      <c r="Q207" s="58"/>
    </row>
    <row r="208" spans="1:17" x14ac:dyDescent="0.25">
      <c r="A208" s="7" t="e">
        <f>VLOOKUP(B208,Plants!$A$2:$B$39,2,0)</f>
        <v>#N/A</v>
      </c>
      <c r="B208" s="7"/>
      <c r="C208" s="8"/>
      <c r="D208" s="7"/>
      <c r="E208" s="55"/>
      <c r="F208" s="7"/>
      <c r="G208" s="56"/>
      <c r="H208" s="9"/>
      <c r="I208" s="9"/>
      <c r="J208" s="10"/>
      <c r="K208" s="9"/>
      <c r="L208" s="9"/>
      <c r="M208" s="11"/>
      <c r="N208" s="57"/>
      <c r="O208" s="8"/>
      <c r="P208" s="7"/>
      <c r="Q208" s="58"/>
    </row>
    <row r="209" spans="1:17" x14ac:dyDescent="0.25">
      <c r="A209" s="7" t="e">
        <f>VLOOKUP(B209,Plants!$A$2:$B$39,2,0)</f>
        <v>#N/A</v>
      </c>
      <c r="B209" s="7"/>
      <c r="C209" s="8"/>
      <c r="D209" s="7"/>
      <c r="E209" s="55"/>
      <c r="F209" s="7"/>
      <c r="G209" s="56"/>
      <c r="H209" s="9"/>
      <c r="I209" s="9"/>
      <c r="J209" s="10"/>
      <c r="K209" s="9"/>
      <c r="L209" s="9"/>
      <c r="M209" s="11"/>
      <c r="N209" s="57"/>
      <c r="O209" s="8"/>
      <c r="P209" s="7"/>
      <c r="Q209" s="58"/>
    </row>
    <row r="210" spans="1:17" x14ac:dyDescent="0.25">
      <c r="A210" s="7" t="e">
        <f>VLOOKUP(B210,Plants!$A$2:$B$39,2,0)</f>
        <v>#N/A</v>
      </c>
      <c r="B210" s="7"/>
      <c r="C210" s="8"/>
      <c r="D210" s="7"/>
      <c r="E210" s="55"/>
      <c r="F210" s="7"/>
      <c r="G210" s="56"/>
      <c r="H210" s="9"/>
      <c r="I210" s="9"/>
      <c r="J210" s="10"/>
      <c r="K210" s="9"/>
      <c r="L210" s="9"/>
      <c r="M210" s="11"/>
      <c r="N210" s="57"/>
      <c r="O210" s="8"/>
      <c r="P210" s="7"/>
      <c r="Q210" s="58"/>
    </row>
    <row r="211" spans="1:17" x14ac:dyDescent="0.25">
      <c r="A211" s="7" t="e">
        <f>VLOOKUP(B211,Plants!$A$2:$B$39,2,0)</f>
        <v>#N/A</v>
      </c>
      <c r="B211" s="7"/>
      <c r="C211" s="8"/>
      <c r="D211" s="7"/>
      <c r="E211" s="55"/>
      <c r="F211" s="7"/>
      <c r="G211" s="56"/>
      <c r="H211" s="9"/>
      <c r="I211" s="9"/>
      <c r="J211" s="10"/>
      <c r="K211" s="9"/>
      <c r="L211" s="9"/>
      <c r="M211" s="11"/>
      <c r="N211" s="57"/>
      <c r="O211" s="8"/>
      <c r="P211" s="7"/>
      <c r="Q211" s="58"/>
    </row>
    <row r="212" spans="1:17" x14ac:dyDescent="0.25">
      <c r="A212" s="7" t="e">
        <f>VLOOKUP(B212,Plants!$A$2:$B$39,2,0)</f>
        <v>#N/A</v>
      </c>
      <c r="B212" s="7"/>
      <c r="C212" s="8"/>
      <c r="D212" s="7"/>
      <c r="E212" s="55"/>
      <c r="F212" s="7"/>
      <c r="G212" s="56"/>
      <c r="H212" s="9"/>
      <c r="I212" s="9"/>
      <c r="J212" s="10"/>
      <c r="K212" s="9"/>
      <c r="L212" s="9"/>
      <c r="M212" s="11"/>
      <c r="N212" s="57"/>
      <c r="O212" s="8"/>
      <c r="P212" s="7"/>
      <c r="Q212" s="12"/>
    </row>
    <row r="213" spans="1:17" x14ac:dyDescent="0.25">
      <c r="A213" s="7" t="e">
        <f>VLOOKUP(B213,Plants!$A$2:$B$39,2,0)</f>
        <v>#N/A</v>
      </c>
      <c r="B213" s="7"/>
      <c r="C213" s="8"/>
      <c r="D213" s="7"/>
      <c r="E213" s="55"/>
      <c r="F213" s="7"/>
      <c r="G213" s="56"/>
      <c r="H213" s="9"/>
      <c r="I213" s="9"/>
      <c r="J213" s="10"/>
      <c r="K213" s="9"/>
      <c r="L213" s="9"/>
      <c r="M213" s="11"/>
      <c r="N213" s="57"/>
      <c r="O213" s="8"/>
      <c r="P213" s="7"/>
      <c r="Q213" s="58"/>
    </row>
    <row r="214" spans="1:17" x14ac:dyDescent="0.25">
      <c r="A214" s="7" t="e">
        <f>VLOOKUP(B214,Plants!$A$2:$B$39,2,0)</f>
        <v>#N/A</v>
      </c>
      <c r="B214" s="7"/>
      <c r="C214" s="8"/>
      <c r="D214" s="7"/>
      <c r="E214" s="55"/>
      <c r="F214" s="7"/>
      <c r="G214" s="56"/>
      <c r="H214" s="9"/>
      <c r="I214" s="9"/>
      <c r="J214" s="10"/>
      <c r="K214" s="9"/>
      <c r="L214" s="9"/>
      <c r="M214" s="11"/>
      <c r="N214" s="57"/>
      <c r="O214" s="8"/>
      <c r="P214" s="7"/>
      <c r="Q214" s="58"/>
    </row>
    <row r="215" spans="1:17" x14ac:dyDescent="0.25">
      <c r="A215" s="7" t="e">
        <f>VLOOKUP(B215,Plants!$A$2:$B$39,2,0)</f>
        <v>#N/A</v>
      </c>
      <c r="B215" s="7"/>
      <c r="C215" s="8"/>
      <c r="D215" s="7"/>
      <c r="E215" s="55"/>
      <c r="F215" s="7"/>
      <c r="G215" s="56"/>
      <c r="H215" s="9"/>
      <c r="I215" s="9"/>
      <c r="J215" s="10"/>
      <c r="K215" s="9"/>
      <c r="L215" s="9"/>
      <c r="M215" s="11"/>
      <c r="N215" s="57"/>
      <c r="O215" s="8"/>
      <c r="P215" s="7"/>
      <c r="Q215" s="12"/>
    </row>
    <row r="216" spans="1:17" x14ac:dyDescent="0.25">
      <c r="A216" s="7" t="e">
        <f>VLOOKUP(B216,Plants!$A$2:$B$39,2,0)</f>
        <v>#N/A</v>
      </c>
      <c r="B216" s="7"/>
      <c r="C216" s="8"/>
      <c r="D216" s="7"/>
      <c r="E216" s="55"/>
      <c r="F216" s="7"/>
      <c r="G216" s="56"/>
      <c r="H216" s="9"/>
      <c r="I216" s="9"/>
      <c r="J216" s="10"/>
      <c r="K216" s="9"/>
      <c r="L216" s="9"/>
      <c r="M216" s="11"/>
      <c r="N216" s="57"/>
      <c r="O216" s="8"/>
      <c r="P216" s="7"/>
      <c r="Q216" s="58"/>
    </row>
    <row r="217" spans="1:17" x14ac:dyDescent="0.25">
      <c r="A217" s="7" t="e">
        <f>VLOOKUP(B217,Plants!$A$2:$B$39,2,0)</f>
        <v>#N/A</v>
      </c>
      <c r="B217" s="7"/>
      <c r="C217" s="8"/>
      <c r="D217" s="7"/>
      <c r="E217" s="55"/>
      <c r="F217" s="7"/>
      <c r="G217" s="56"/>
      <c r="H217" s="9"/>
      <c r="I217" s="9"/>
      <c r="J217" s="10"/>
      <c r="K217" s="9"/>
      <c r="L217" s="9"/>
      <c r="M217" s="11"/>
      <c r="N217" s="57"/>
      <c r="O217" s="8"/>
      <c r="P217" s="7"/>
      <c r="Q217" s="58"/>
    </row>
    <row r="218" spans="1:17" x14ac:dyDescent="0.25">
      <c r="A218" s="7" t="e">
        <f>VLOOKUP(B218,Plants!$A$2:$B$39,2,0)</f>
        <v>#N/A</v>
      </c>
      <c r="B218" s="7"/>
      <c r="C218" s="8"/>
      <c r="D218" s="7"/>
      <c r="E218" s="55"/>
      <c r="F218" s="7"/>
      <c r="G218" s="56"/>
      <c r="H218" s="9"/>
      <c r="I218" s="9"/>
      <c r="J218" s="10"/>
      <c r="K218" s="9"/>
      <c r="L218" s="9"/>
      <c r="M218" s="11"/>
      <c r="N218" s="57"/>
      <c r="O218" s="8"/>
      <c r="P218" s="7"/>
      <c r="Q218" s="58"/>
    </row>
    <row r="219" spans="1:17" x14ac:dyDescent="0.25">
      <c r="A219" s="7" t="e">
        <f>VLOOKUP(B219,Plants!$A$2:$B$39,2,0)</f>
        <v>#N/A</v>
      </c>
      <c r="B219" s="7"/>
      <c r="C219" s="8"/>
      <c r="D219" s="7"/>
      <c r="E219" s="55"/>
      <c r="F219" s="7"/>
      <c r="G219" s="56"/>
      <c r="H219" s="9"/>
      <c r="I219" s="9"/>
      <c r="J219" s="10"/>
      <c r="K219" s="9"/>
      <c r="L219" s="9"/>
      <c r="M219" s="11"/>
      <c r="N219" s="57"/>
      <c r="O219" s="8"/>
      <c r="P219" s="7"/>
      <c r="Q219" s="58"/>
    </row>
    <row r="220" spans="1:17" x14ac:dyDescent="0.25">
      <c r="A220" s="7" t="e">
        <f>VLOOKUP(B220,Plants!$A$2:$B$39,2,0)</f>
        <v>#N/A</v>
      </c>
      <c r="B220" s="7"/>
      <c r="C220" s="8"/>
      <c r="D220" s="7"/>
      <c r="E220" s="55"/>
      <c r="F220" s="7"/>
      <c r="G220" s="56"/>
      <c r="H220" s="9"/>
      <c r="I220" s="9"/>
      <c r="J220" s="10"/>
      <c r="K220" s="9"/>
      <c r="L220" s="9"/>
      <c r="M220" s="11"/>
      <c r="N220" s="57"/>
      <c r="O220" s="8"/>
      <c r="P220" s="7"/>
      <c r="Q220" s="58"/>
    </row>
    <row r="221" spans="1:17" x14ac:dyDescent="0.25">
      <c r="A221" s="7" t="e">
        <f>VLOOKUP(B221,Plants!$A$2:$B$39,2,0)</f>
        <v>#N/A</v>
      </c>
      <c r="B221" s="7"/>
      <c r="C221" s="8"/>
      <c r="D221" s="7"/>
      <c r="E221" s="55"/>
      <c r="F221" s="7"/>
      <c r="G221" s="56"/>
      <c r="H221" s="9"/>
      <c r="I221" s="9"/>
      <c r="J221" s="10"/>
      <c r="K221" s="9"/>
      <c r="L221" s="9"/>
      <c r="M221" s="11"/>
      <c r="N221" s="57"/>
      <c r="O221" s="8"/>
      <c r="P221" s="7"/>
      <c r="Q221" s="58"/>
    </row>
    <row r="222" spans="1:17" x14ac:dyDescent="0.25">
      <c r="A222" s="7" t="e">
        <f>VLOOKUP(B222,Plants!$A$2:$B$39,2,0)</f>
        <v>#N/A</v>
      </c>
      <c r="B222" s="7"/>
      <c r="C222" s="8"/>
      <c r="D222" s="7"/>
      <c r="E222" s="55"/>
      <c r="F222" s="7"/>
      <c r="G222" s="56"/>
      <c r="H222" s="9"/>
      <c r="I222" s="9"/>
      <c r="J222" s="10"/>
      <c r="K222" s="9"/>
      <c r="L222" s="9"/>
      <c r="M222" s="11"/>
      <c r="N222" s="57"/>
      <c r="O222" s="8"/>
      <c r="P222" s="7"/>
      <c r="Q222" s="58"/>
    </row>
    <row r="223" spans="1:17" x14ac:dyDescent="0.25">
      <c r="A223" s="7" t="e">
        <f>VLOOKUP(B223,Plants!$A$2:$B$39,2,0)</f>
        <v>#N/A</v>
      </c>
      <c r="B223" s="7"/>
      <c r="C223" s="8"/>
      <c r="D223" s="7"/>
      <c r="E223" s="55"/>
      <c r="F223" s="7"/>
      <c r="G223" s="56"/>
      <c r="H223" s="9"/>
      <c r="I223" s="9"/>
      <c r="J223" s="10"/>
      <c r="K223" s="9"/>
      <c r="L223" s="9"/>
      <c r="M223" s="11"/>
      <c r="N223" s="57"/>
      <c r="O223" s="8"/>
      <c r="P223" s="7"/>
      <c r="Q223" s="58"/>
    </row>
    <row r="224" spans="1:17" x14ac:dyDescent="0.25">
      <c r="A224" s="7" t="e">
        <f>VLOOKUP(B224,Plants!$A$2:$B$39,2,0)</f>
        <v>#N/A</v>
      </c>
      <c r="B224" s="7"/>
      <c r="C224" s="8"/>
      <c r="D224" s="7"/>
      <c r="E224" s="55"/>
      <c r="F224" s="7"/>
      <c r="G224" s="56"/>
      <c r="H224" s="9"/>
      <c r="I224" s="9"/>
      <c r="J224" s="10"/>
      <c r="K224" s="9"/>
      <c r="L224" s="9"/>
      <c r="M224" s="11"/>
      <c r="N224" s="57"/>
      <c r="O224" s="8"/>
      <c r="P224" s="7"/>
      <c r="Q224" s="58"/>
    </row>
    <row r="225" spans="1:17" x14ac:dyDescent="0.25">
      <c r="A225" s="7" t="e">
        <f>VLOOKUP(B225,Plants!$A$2:$B$39,2,0)</f>
        <v>#N/A</v>
      </c>
      <c r="B225" s="7"/>
      <c r="C225" s="8"/>
      <c r="D225" s="7"/>
      <c r="E225" s="55"/>
      <c r="F225" s="7"/>
      <c r="G225" s="56"/>
      <c r="H225" s="9"/>
      <c r="I225" s="9"/>
      <c r="J225" s="10"/>
      <c r="K225" s="9"/>
      <c r="L225" s="9"/>
      <c r="M225" s="11"/>
      <c r="N225" s="57"/>
      <c r="O225" s="8"/>
      <c r="P225" s="7"/>
      <c r="Q225" s="58"/>
    </row>
    <row r="226" spans="1:17" x14ac:dyDescent="0.25">
      <c r="A226" s="7" t="e">
        <f>VLOOKUP(B226,Plants!$A$2:$B$39,2,0)</f>
        <v>#N/A</v>
      </c>
      <c r="B226" s="7"/>
      <c r="C226" s="8"/>
      <c r="D226" s="7"/>
      <c r="E226" s="55"/>
      <c r="F226" s="7"/>
      <c r="G226" s="56"/>
      <c r="H226" s="9"/>
      <c r="I226" s="9"/>
      <c r="J226" s="10"/>
      <c r="K226" s="9"/>
      <c r="L226" s="9"/>
      <c r="M226" s="11"/>
      <c r="N226" s="57"/>
      <c r="O226" s="8"/>
      <c r="P226" s="7"/>
      <c r="Q226" s="58"/>
    </row>
    <row r="227" spans="1:17" x14ac:dyDescent="0.25">
      <c r="A227" s="7" t="e">
        <f>VLOOKUP(B227,Plants!$A$2:$B$39,2,0)</f>
        <v>#N/A</v>
      </c>
      <c r="B227" s="7"/>
      <c r="C227" s="8"/>
      <c r="D227" s="7"/>
      <c r="E227" s="55"/>
      <c r="F227" s="7"/>
      <c r="G227" s="56"/>
      <c r="H227" s="9"/>
      <c r="I227" s="9"/>
      <c r="J227" s="10"/>
      <c r="K227" s="9"/>
      <c r="L227" s="9"/>
      <c r="M227" s="11"/>
      <c r="N227" s="57"/>
      <c r="O227" s="8"/>
      <c r="P227" s="7"/>
      <c r="Q227" s="58"/>
    </row>
    <row r="228" spans="1:17" x14ac:dyDescent="0.25">
      <c r="A228" s="7" t="e">
        <f>VLOOKUP(B228,Plants!$A$2:$B$39,2,0)</f>
        <v>#N/A</v>
      </c>
      <c r="B228" s="7"/>
      <c r="C228" s="8"/>
      <c r="D228" s="7"/>
      <c r="E228" s="55"/>
      <c r="F228" s="7"/>
      <c r="G228" s="56"/>
      <c r="H228" s="9"/>
      <c r="I228" s="9"/>
      <c r="J228" s="10"/>
      <c r="K228" s="9"/>
      <c r="L228" s="9"/>
      <c r="M228" s="11"/>
      <c r="N228" s="57"/>
      <c r="O228" s="8"/>
      <c r="P228" s="7"/>
      <c r="Q228" s="58"/>
    </row>
    <row r="229" spans="1:17" x14ac:dyDescent="0.25">
      <c r="A229" s="7" t="e">
        <f>VLOOKUP(B229,Plants!$A$2:$B$39,2,0)</f>
        <v>#N/A</v>
      </c>
      <c r="B229" s="7"/>
      <c r="C229" s="8"/>
      <c r="D229" s="7"/>
      <c r="E229" s="55"/>
      <c r="F229" s="7"/>
      <c r="G229" s="56"/>
      <c r="H229" s="9"/>
      <c r="I229" s="9"/>
      <c r="J229" s="10"/>
      <c r="K229" s="9"/>
      <c r="L229" s="9"/>
      <c r="M229" s="11"/>
      <c r="N229" s="57"/>
      <c r="O229" s="8"/>
      <c r="P229" s="7"/>
      <c r="Q229" s="58"/>
    </row>
    <row r="230" spans="1:17" x14ac:dyDescent="0.25">
      <c r="A230" s="7" t="e">
        <f>VLOOKUP(B230,Plants!$A$2:$B$39,2,0)</f>
        <v>#N/A</v>
      </c>
      <c r="B230" s="7"/>
      <c r="C230" s="8"/>
      <c r="D230" s="7"/>
      <c r="E230" s="55"/>
      <c r="F230" s="7"/>
      <c r="G230" s="56"/>
      <c r="H230" s="9"/>
      <c r="I230" s="9"/>
      <c r="J230" s="10"/>
      <c r="K230" s="9"/>
      <c r="L230" s="9"/>
      <c r="M230" s="11"/>
      <c r="N230" s="57"/>
      <c r="O230" s="8"/>
      <c r="P230" s="7"/>
      <c r="Q230" s="58"/>
    </row>
    <row r="231" spans="1:17" x14ac:dyDescent="0.25">
      <c r="A231" s="7" t="e">
        <f>VLOOKUP(B231,Plants!$A$2:$B$39,2,0)</f>
        <v>#N/A</v>
      </c>
      <c r="B231" s="7"/>
      <c r="C231" s="8"/>
      <c r="D231" s="7"/>
      <c r="E231" s="55"/>
      <c r="F231" s="7"/>
      <c r="G231" s="56"/>
      <c r="H231" s="9"/>
      <c r="I231" s="9"/>
      <c r="J231" s="10"/>
      <c r="K231" s="9"/>
      <c r="L231" s="9"/>
      <c r="M231" s="11"/>
      <c r="N231" s="57"/>
      <c r="O231" s="8"/>
      <c r="P231" s="7"/>
      <c r="Q231" s="58"/>
    </row>
    <row r="232" spans="1:17" x14ac:dyDescent="0.25">
      <c r="A232" s="7" t="e">
        <f>VLOOKUP(B232,Plants!$A$2:$B$39,2,0)</f>
        <v>#N/A</v>
      </c>
      <c r="B232" s="7"/>
      <c r="C232" s="8"/>
      <c r="D232" s="7"/>
      <c r="E232" s="55"/>
      <c r="F232" s="7"/>
      <c r="G232" s="56"/>
      <c r="H232" s="9"/>
      <c r="I232" s="9"/>
      <c r="J232" s="10"/>
      <c r="K232" s="9"/>
      <c r="L232" s="9"/>
      <c r="M232" s="11"/>
      <c r="N232" s="57"/>
      <c r="O232" s="8"/>
      <c r="P232" s="7"/>
      <c r="Q232" s="58"/>
    </row>
    <row r="233" spans="1:17" x14ac:dyDescent="0.25">
      <c r="A233" s="7" t="e">
        <f>VLOOKUP(B233,Plants!$A$2:$B$39,2,0)</f>
        <v>#N/A</v>
      </c>
      <c r="B233" s="7"/>
      <c r="C233" s="8"/>
      <c r="D233" s="7"/>
      <c r="E233" s="55"/>
      <c r="F233" s="7"/>
      <c r="G233" s="56"/>
      <c r="H233" s="9"/>
      <c r="I233" s="9"/>
      <c r="J233" s="10"/>
      <c r="K233" s="9"/>
      <c r="L233" s="9"/>
      <c r="M233" s="11"/>
      <c r="N233" s="57"/>
      <c r="O233" s="8"/>
      <c r="P233" s="7"/>
      <c r="Q233" s="58"/>
    </row>
    <row r="234" spans="1:17" x14ac:dyDescent="0.25">
      <c r="A234" s="7" t="e">
        <f>VLOOKUP(B234,Plants!$A$2:$B$39,2,0)</f>
        <v>#N/A</v>
      </c>
      <c r="B234" s="7"/>
      <c r="C234" s="8"/>
      <c r="D234" s="7"/>
      <c r="E234" s="55"/>
      <c r="F234" s="7"/>
      <c r="G234" s="56"/>
      <c r="H234" s="9"/>
      <c r="I234" s="9"/>
      <c r="J234" s="10"/>
      <c r="K234" s="9"/>
      <c r="L234" s="9"/>
      <c r="M234" s="11"/>
      <c r="N234" s="57"/>
      <c r="O234" s="8"/>
      <c r="P234" s="7"/>
      <c r="Q234" s="58"/>
    </row>
    <row r="235" spans="1:17" x14ac:dyDescent="0.25">
      <c r="A235" s="7" t="e">
        <f>VLOOKUP(B235,Plants!$A$2:$B$39,2,0)</f>
        <v>#N/A</v>
      </c>
      <c r="B235" s="7"/>
      <c r="C235" s="8"/>
      <c r="D235" s="7"/>
      <c r="E235" s="55"/>
      <c r="F235" s="7"/>
      <c r="G235" s="56"/>
      <c r="H235" s="9"/>
      <c r="I235" s="9"/>
      <c r="J235" s="10"/>
      <c r="K235" s="9"/>
      <c r="L235" s="9"/>
      <c r="M235" s="11"/>
      <c r="N235" s="57"/>
      <c r="O235" s="8"/>
      <c r="P235" s="7"/>
      <c r="Q235" s="58"/>
    </row>
    <row r="236" spans="1:17" x14ac:dyDescent="0.25">
      <c r="A236" s="7" t="e">
        <f>VLOOKUP(B236,Plants!$A$2:$B$39,2,0)</f>
        <v>#N/A</v>
      </c>
      <c r="B236" s="7"/>
      <c r="C236" s="8"/>
      <c r="D236" s="7"/>
      <c r="E236" s="55"/>
      <c r="F236" s="7"/>
      <c r="G236" s="56"/>
      <c r="H236" s="9"/>
      <c r="I236" s="9"/>
      <c r="J236" s="10"/>
      <c r="K236" s="9"/>
      <c r="L236" s="9"/>
      <c r="M236" s="11"/>
      <c r="N236" s="57"/>
      <c r="O236" s="8"/>
      <c r="P236" s="7"/>
      <c r="Q236" s="58"/>
    </row>
    <row r="237" spans="1:17" x14ac:dyDescent="0.25">
      <c r="A237" s="7" t="e">
        <f>VLOOKUP(B237,Plants!$A$2:$B$39,2,0)</f>
        <v>#N/A</v>
      </c>
      <c r="B237" s="7"/>
      <c r="C237" s="8"/>
      <c r="D237" s="7"/>
      <c r="E237" s="55"/>
      <c r="F237" s="7"/>
      <c r="G237" s="56"/>
      <c r="H237" s="9"/>
      <c r="I237" s="9"/>
      <c r="J237" s="10"/>
      <c r="K237" s="9"/>
      <c r="L237" s="9"/>
      <c r="M237" s="11"/>
      <c r="N237" s="57"/>
      <c r="O237" s="8"/>
      <c r="P237" s="7"/>
      <c r="Q237" s="58"/>
    </row>
    <row r="238" spans="1:17" x14ac:dyDescent="0.25">
      <c r="A238" s="7" t="e">
        <f>VLOOKUP(B238,Plants!$A$2:$B$39,2,0)</f>
        <v>#N/A</v>
      </c>
      <c r="B238" s="7"/>
      <c r="C238" s="8"/>
      <c r="D238" s="7"/>
      <c r="E238" s="55"/>
      <c r="F238" s="7"/>
      <c r="G238" s="56"/>
      <c r="H238" s="9"/>
      <c r="I238" s="9"/>
      <c r="J238" s="10"/>
      <c r="K238" s="9"/>
      <c r="L238" s="9"/>
      <c r="M238" s="11"/>
      <c r="N238" s="57"/>
      <c r="O238" s="8"/>
      <c r="P238" s="7"/>
      <c r="Q238" s="58"/>
    </row>
    <row r="239" spans="1:17" x14ac:dyDescent="0.25">
      <c r="A239" s="7" t="e">
        <f>VLOOKUP(B239,Plants!$A$2:$B$39,2,0)</f>
        <v>#N/A</v>
      </c>
      <c r="B239" s="7"/>
      <c r="C239" s="8"/>
      <c r="D239" s="7"/>
      <c r="E239" s="55"/>
      <c r="F239" s="7"/>
      <c r="G239" s="56"/>
      <c r="H239" s="9"/>
      <c r="I239" s="9"/>
      <c r="J239" s="10"/>
      <c r="K239" s="9"/>
      <c r="L239" s="9"/>
      <c r="M239" s="11"/>
      <c r="N239" s="57"/>
      <c r="O239" s="8"/>
      <c r="P239" s="7"/>
      <c r="Q239" s="58"/>
    </row>
    <row r="240" spans="1:17" x14ac:dyDescent="0.25">
      <c r="A240" s="7" t="e">
        <f>VLOOKUP(B240,Plants!$A$2:$B$39,2,0)</f>
        <v>#N/A</v>
      </c>
      <c r="B240" s="7"/>
      <c r="C240" s="8"/>
      <c r="D240" s="7"/>
      <c r="E240" s="55"/>
      <c r="F240" s="7"/>
      <c r="G240" s="56"/>
      <c r="H240" s="9"/>
      <c r="I240" s="9"/>
      <c r="J240" s="10"/>
      <c r="K240" s="9"/>
      <c r="L240" s="9"/>
      <c r="M240" s="11"/>
      <c r="N240" s="57"/>
      <c r="O240" s="8"/>
      <c r="P240" s="7"/>
      <c r="Q240" s="58"/>
    </row>
    <row r="241" spans="1:17" x14ac:dyDescent="0.25">
      <c r="A241" s="7" t="e">
        <f>VLOOKUP(B241,Plants!$A$2:$B$39,2,0)</f>
        <v>#N/A</v>
      </c>
      <c r="B241" s="7"/>
      <c r="C241" s="8"/>
      <c r="D241" s="7"/>
      <c r="E241" s="55"/>
      <c r="F241" s="7"/>
      <c r="G241" s="56"/>
      <c r="H241" s="9"/>
      <c r="I241" s="9"/>
      <c r="J241" s="10"/>
      <c r="K241" s="9"/>
      <c r="L241" s="9"/>
      <c r="M241" s="11"/>
      <c r="N241" s="57"/>
      <c r="O241" s="8"/>
      <c r="P241" s="7"/>
      <c r="Q241" s="58"/>
    </row>
    <row r="242" spans="1:17" x14ac:dyDescent="0.25">
      <c r="A242" s="7" t="e">
        <f>VLOOKUP(B242,Plants!$A$2:$B$39,2,0)</f>
        <v>#N/A</v>
      </c>
      <c r="B242" s="7"/>
      <c r="C242" s="8"/>
      <c r="D242" s="7"/>
      <c r="E242" s="55"/>
      <c r="F242" s="7"/>
      <c r="G242" s="56"/>
      <c r="H242" s="9"/>
      <c r="I242" s="9"/>
      <c r="J242" s="10"/>
      <c r="K242" s="9"/>
      <c r="L242" s="9"/>
      <c r="M242" s="11"/>
      <c r="N242" s="57"/>
      <c r="O242" s="8"/>
      <c r="P242" s="7"/>
      <c r="Q242" s="58"/>
    </row>
    <row r="243" spans="1:17" x14ac:dyDescent="0.25">
      <c r="A243" s="7" t="e">
        <f>VLOOKUP(B243,Plants!$A$2:$B$39,2,0)</f>
        <v>#N/A</v>
      </c>
      <c r="B243" s="7"/>
      <c r="C243" s="8"/>
      <c r="D243" s="7"/>
      <c r="E243" s="55"/>
      <c r="F243" s="7"/>
      <c r="G243" s="56"/>
      <c r="H243" s="9"/>
      <c r="I243" s="9"/>
      <c r="J243" s="10"/>
      <c r="K243" s="9"/>
      <c r="L243" s="9"/>
      <c r="M243" s="11"/>
      <c r="N243" s="57"/>
      <c r="O243" s="8"/>
      <c r="P243" s="7"/>
      <c r="Q243" s="12"/>
    </row>
    <row r="244" spans="1:17" x14ac:dyDescent="0.25">
      <c r="A244" s="7" t="e">
        <f>VLOOKUP(B244,Plants!$A$2:$B$39,2,0)</f>
        <v>#N/A</v>
      </c>
      <c r="B244" s="7"/>
      <c r="C244" s="8"/>
      <c r="D244" s="7"/>
      <c r="E244" s="55"/>
      <c r="F244" s="7"/>
      <c r="G244" s="56"/>
      <c r="H244" s="9"/>
      <c r="I244" s="9"/>
      <c r="J244" s="10"/>
      <c r="K244" s="9"/>
      <c r="L244" s="9"/>
      <c r="M244" s="11"/>
      <c r="N244" s="57"/>
      <c r="O244" s="8"/>
      <c r="P244" s="7"/>
      <c r="Q244" s="12"/>
    </row>
    <row r="245" spans="1:17" x14ac:dyDescent="0.25">
      <c r="A245" s="7" t="e">
        <f>VLOOKUP(B245,Plants!$A$2:$B$39,2,0)</f>
        <v>#N/A</v>
      </c>
      <c r="B245" s="7"/>
      <c r="C245" s="8"/>
      <c r="D245" s="7"/>
      <c r="E245" s="55"/>
      <c r="F245" s="7"/>
      <c r="G245" s="56"/>
      <c r="H245" s="9"/>
      <c r="I245" s="9"/>
      <c r="J245" s="10"/>
      <c r="K245" s="9"/>
      <c r="L245" s="9"/>
      <c r="M245" s="11"/>
      <c r="N245" s="57"/>
      <c r="O245" s="8"/>
      <c r="P245" s="7"/>
      <c r="Q245" s="58"/>
    </row>
    <row r="246" spans="1:17" x14ac:dyDescent="0.25">
      <c r="A246" s="7" t="e">
        <f>VLOOKUP(B246,Plants!$A$2:$B$39,2,0)</f>
        <v>#N/A</v>
      </c>
      <c r="B246" s="7"/>
      <c r="C246" s="8"/>
      <c r="D246" s="7"/>
      <c r="E246" s="55"/>
      <c r="F246" s="7"/>
      <c r="G246" s="56"/>
      <c r="H246" s="9"/>
      <c r="I246" s="9"/>
      <c r="J246" s="10"/>
      <c r="K246" s="9"/>
      <c r="L246" s="9"/>
      <c r="M246" s="11"/>
      <c r="N246" s="57"/>
      <c r="O246" s="8"/>
      <c r="P246" s="7"/>
      <c r="Q246" s="12"/>
    </row>
    <row r="247" spans="1:17" x14ac:dyDescent="0.25">
      <c r="A247" s="7" t="e">
        <f>VLOOKUP(B247,Plants!$A$2:$B$39,2,0)</f>
        <v>#N/A</v>
      </c>
      <c r="B247" s="7"/>
      <c r="C247" s="8"/>
      <c r="D247" s="7"/>
      <c r="E247" s="55"/>
      <c r="F247" s="7"/>
      <c r="G247" s="56"/>
      <c r="H247" s="9"/>
      <c r="I247" s="9"/>
      <c r="J247" s="10"/>
      <c r="K247" s="9"/>
      <c r="L247" s="9"/>
      <c r="M247" s="11"/>
      <c r="N247" s="57"/>
      <c r="O247" s="8"/>
      <c r="P247" s="7"/>
      <c r="Q247" s="58"/>
    </row>
    <row r="248" spans="1:17" x14ac:dyDescent="0.25">
      <c r="A248" s="7" t="e">
        <f>VLOOKUP(B248,Plants!$A$2:$B$39,2,0)</f>
        <v>#N/A</v>
      </c>
      <c r="B248" s="7"/>
      <c r="C248" s="8"/>
      <c r="D248" s="7"/>
      <c r="E248" s="55"/>
      <c r="F248" s="7"/>
      <c r="G248" s="56"/>
      <c r="H248" s="9"/>
      <c r="I248" s="9"/>
      <c r="J248" s="10"/>
      <c r="K248" s="9"/>
      <c r="L248" s="9"/>
      <c r="M248" s="11"/>
      <c r="N248" s="57"/>
      <c r="O248" s="8"/>
      <c r="P248" s="7"/>
      <c r="Q248" s="58"/>
    </row>
    <row r="249" spans="1:17" x14ac:dyDescent="0.25">
      <c r="A249" s="7" t="e">
        <f>VLOOKUP(B249,Plants!$A$2:$B$39,2,0)</f>
        <v>#N/A</v>
      </c>
      <c r="B249" s="7"/>
      <c r="C249" s="8"/>
      <c r="D249" s="7"/>
      <c r="E249" s="55"/>
      <c r="F249" s="7"/>
      <c r="G249" s="56"/>
      <c r="H249" s="9"/>
      <c r="I249" s="9"/>
      <c r="J249" s="10"/>
      <c r="K249" s="9"/>
      <c r="L249" s="9"/>
      <c r="M249" s="11"/>
      <c r="N249" s="57"/>
      <c r="O249" s="8"/>
      <c r="P249" s="7"/>
      <c r="Q249" s="58"/>
    </row>
    <row r="250" spans="1:17" x14ac:dyDescent="0.25">
      <c r="A250" s="7" t="e">
        <f>VLOOKUP(B250,Plants!$A$2:$B$39,2,0)</f>
        <v>#N/A</v>
      </c>
      <c r="B250" s="7"/>
      <c r="C250" s="8"/>
      <c r="D250" s="7"/>
      <c r="E250" s="55"/>
      <c r="F250" s="7"/>
      <c r="G250" s="56"/>
      <c r="H250" s="9"/>
      <c r="I250" s="9"/>
      <c r="J250" s="10"/>
      <c r="K250" s="9"/>
      <c r="L250" s="9"/>
      <c r="M250" s="11"/>
      <c r="N250" s="57"/>
      <c r="O250" s="8"/>
      <c r="P250" s="7"/>
      <c r="Q250" s="58"/>
    </row>
    <row r="251" spans="1:17" x14ac:dyDescent="0.25">
      <c r="A251" s="7" t="e">
        <f>VLOOKUP(B251,Plants!$A$2:$B$39,2,0)</f>
        <v>#N/A</v>
      </c>
      <c r="B251" s="7"/>
      <c r="C251" s="8"/>
      <c r="D251" s="7"/>
      <c r="E251" s="55"/>
      <c r="F251" s="7"/>
      <c r="G251" s="56"/>
      <c r="H251" s="9"/>
      <c r="I251" s="9"/>
      <c r="J251" s="10"/>
      <c r="K251" s="9"/>
      <c r="L251" s="9"/>
      <c r="M251" s="11"/>
      <c r="N251" s="57"/>
      <c r="O251" s="8"/>
      <c r="P251" s="7"/>
      <c r="Q251" s="58"/>
    </row>
    <row r="252" spans="1:17" x14ac:dyDescent="0.25">
      <c r="A252" s="7" t="e">
        <f>VLOOKUP(B252,Plants!$A$2:$B$39,2,0)</f>
        <v>#N/A</v>
      </c>
      <c r="B252" s="7"/>
      <c r="C252" s="8"/>
      <c r="D252" s="7"/>
      <c r="E252" s="55"/>
      <c r="F252" s="7"/>
      <c r="G252" s="56"/>
      <c r="H252" s="9"/>
      <c r="I252" s="9"/>
      <c r="J252" s="10"/>
      <c r="K252" s="9"/>
      <c r="L252" s="9"/>
      <c r="M252" s="11"/>
      <c r="N252" s="57"/>
      <c r="O252" s="8"/>
      <c r="P252" s="7"/>
      <c r="Q252" s="58"/>
    </row>
    <row r="253" spans="1:17" x14ac:dyDescent="0.25">
      <c r="A253" s="7" t="e">
        <f>VLOOKUP(B253,Plants!$A$2:$B$39,2,0)</f>
        <v>#N/A</v>
      </c>
      <c r="B253" s="7"/>
      <c r="C253" s="8"/>
      <c r="D253" s="7"/>
      <c r="E253" s="55"/>
      <c r="F253" s="7"/>
      <c r="G253" s="56"/>
      <c r="H253" s="9"/>
      <c r="I253" s="9"/>
      <c r="J253" s="10"/>
      <c r="K253" s="9"/>
      <c r="L253" s="9"/>
      <c r="M253" s="11"/>
      <c r="N253" s="57"/>
      <c r="O253" s="8"/>
      <c r="P253" s="7"/>
      <c r="Q253" s="58"/>
    </row>
    <row r="254" spans="1:17" x14ac:dyDescent="0.25">
      <c r="A254" s="7" t="e">
        <f>VLOOKUP(B254,Plants!$A$2:$B$39,2,0)</f>
        <v>#N/A</v>
      </c>
      <c r="B254" s="7"/>
      <c r="C254" s="8"/>
      <c r="D254" s="7"/>
      <c r="E254" s="55"/>
      <c r="F254" s="7"/>
      <c r="G254" s="56"/>
      <c r="H254" s="9"/>
      <c r="I254" s="9"/>
      <c r="J254" s="10"/>
      <c r="K254" s="9"/>
      <c r="L254" s="9"/>
      <c r="M254" s="11"/>
      <c r="N254" s="57"/>
      <c r="O254" s="8"/>
      <c r="P254" s="7"/>
      <c r="Q254" s="58"/>
    </row>
    <row r="255" spans="1:17" x14ac:dyDescent="0.25">
      <c r="A255" s="7" t="e">
        <f>VLOOKUP(B255,Plants!$A$2:$B$39,2,0)</f>
        <v>#N/A</v>
      </c>
      <c r="B255" s="7"/>
      <c r="C255" s="8"/>
      <c r="D255" s="7"/>
      <c r="E255" s="55"/>
      <c r="F255" s="7"/>
      <c r="G255" s="56"/>
      <c r="H255" s="9"/>
      <c r="I255" s="9"/>
      <c r="J255" s="10"/>
      <c r="K255" s="9"/>
      <c r="L255" s="9"/>
      <c r="M255" s="11"/>
      <c r="N255" s="57"/>
      <c r="O255" s="8"/>
      <c r="P255" s="7"/>
      <c r="Q255" s="58"/>
    </row>
    <row r="256" spans="1:17" x14ac:dyDescent="0.25">
      <c r="A256" s="7" t="e">
        <f>VLOOKUP(B256,Plants!$A$2:$B$39,2,0)</f>
        <v>#N/A</v>
      </c>
      <c r="B256" s="7"/>
      <c r="C256" s="8"/>
      <c r="D256" s="7"/>
      <c r="E256" s="55"/>
      <c r="F256" s="7"/>
      <c r="G256" s="56"/>
      <c r="H256" s="9"/>
      <c r="I256" s="9"/>
      <c r="J256" s="10"/>
      <c r="K256" s="9"/>
      <c r="L256" s="9"/>
      <c r="M256" s="11"/>
      <c r="N256" s="57"/>
      <c r="O256" s="8"/>
      <c r="P256" s="7"/>
      <c r="Q256" s="58"/>
    </row>
    <row r="257" spans="1:17" x14ac:dyDescent="0.25">
      <c r="A257" s="7" t="e">
        <f>VLOOKUP(B257,Plants!$A$2:$B$39,2,0)</f>
        <v>#N/A</v>
      </c>
      <c r="B257" s="7"/>
      <c r="C257" s="8"/>
      <c r="D257" s="7"/>
      <c r="E257" s="55"/>
      <c r="F257" s="7"/>
      <c r="G257" s="56"/>
      <c r="H257" s="9"/>
      <c r="I257" s="9"/>
      <c r="J257" s="10"/>
      <c r="K257" s="9"/>
      <c r="L257" s="9"/>
      <c r="M257" s="11"/>
      <c r="N257" s="57"/>
      <c r="O257" s="8"/>
      <c r="P257" s="7"/>
      <c r="Q257" s="58"/>
    </row>
    <row r="258" spans="1:17" x14ac:dyDescent="0.25">
      <c r="A258" s="7" t="e">
        <f>VLOOKUP(B258,Plants!$A$2:$B$39,2,0)</f>
        <v>#N/A</v>
      </c>
      <c r="B258" s="7"/>
      <c r="C258" s="8"/>
      <c r="D258" s="7"/>
      <c r="E258" s="55"/>
      <c r="F258" s="7"/>
      <c r="G258" s="56"/>
      <c r="H258" s="9"/>
      <c r="I258" s="9"/>
      <c r="J258" s="10"/>
      <c r="K258" s="9"/>
      <c r="L258" s="9"/>
      <c r="M258" s="11"/>
      <c r="N258" s="57"/>
      <c r="O258" s="8"/>
      <c r="P258" s="7"/>
      <c r="Q258" s="58"/>
    </row>
    <row r="259" spans="1:17" x14ac:dyDescent="0.25">
      <c r="A259" s="7" t="e">
        <f>VLOOKUP(B259,Plants!$A$2:$B$39,2,0)</f>
        <v>#N/A</v>
      </c>
      <c r="B259" s="7"/>
      <c r="C259" s="8"/>
      <c r="D259" s="7"/>
      <c r="E259" s="55"/>
      <c r="F259" s="7"/>
      <c r="G259" s="56"/>
      <c r="H259" s="9"/>
      <c r="I259" s="9"/>
      <c r="J259" s="10"/>
      <c r="K259" s="9"/>
      <c r="L259" s="9"/>
      <c r="M259" s="11"/>
      <c r="N259" s="57"/>
      <c r="O259" s="8"/>
      <c r="P259" s="7"/>
      <c r="Q259" s="58"/>
    </row>
    <row r="260" spans="1:17" x14ac:dyDescent="0.25">
      <c r="A260" s="7" t="e">
        <f>VLOOKUP(B260,Plants!$A$2:$B$39,2,0)</f>
        <v>#N/A</v>
      </c>
      <c r="B260" s="7"/>
      <c r="C260" s="8"/>
      <c r="D260" s="7"/>
      <c r="E260" s="55"/>
      <c r="F260" s="7"/>
      <c r="G260" s="56"/>
      <c r="H260" s="9"/>
      <c r="I260" s="9"/>
      <c r="J260" s="10"/>
      <c r="K260" s="9"/>
      <c r="L260" s="9"/>
      <c r="M260" s="11"/>
      <c r="N260" s="57"/>
      <c r="O260" s="8"/>
      <c r="P260" s="7"/>
      <c r="Q260" s="12"/>
    </row>
    <row r="261" spans="1:17" x14ac:dyDescent="0.25">
      <c r="A261" s="7" t="e">
        <f>VLOOKUP(B261,Plants!$A$2:$B$39,2,0)</f>
        <v>#N/A</v>
      </c>
      <c r="B261" s="7"/>
      <c r="C261" s="8"/>
      <c r="D261" s="7"/>
      <c r="E261" s="55"/>
      <c r="F261" s="7"/>
      <c r="G261" s="56"/>
      <c r="H261" s="9"/>
      <c r="I261" s="9"/>
      <c r="J261" s="10"/>
      <c r="K261" s="9"/>
      <c r="L261" s="9"/>
      <c r="M261" s="11"/>
      <c r="N261" s="57"/>
      <c r="O261" s="8"/>
      <c r="P261" s="7"/>
      <c r="Q261" s="12"/>
    </row>
    <row r="262" spans="1:17" x14ac:dyDescent="0.25">
      <c r="A262" s="7" t="e">
        <f>VLOOKUP(B262,Plants!$A$2:$B$39,2,0)</f>
        <v>#N/A</v>
      </c>
      <c r="B262" s="7"/>
      <c r="C262" s="8"/>
      <c r="D262" s="7"/>
      <c r="E262" s="55"/>
      <c r="F262" s="7"/>
      <c r="G262" s="56"/>
      <c r="H262" s="9"/>
      <c r="I262" s="9"/>
      <c r="J262" s="10"/>
      <c r="K262" s="9"/>
      <c r="L262" s="9"/>
      <c r="M262" s="11"/>
      <c r="N262" s="57"/>
      <c r="O262" s="8"/>
      <c r="P262" s="7"/>
      <c r="Q262" s="12"/>
    </row>
    <row r="263" spans="1:17" x14ac:dyDescent="0.25">
      <c r="A263" s="7" t="e">
        <f>VLOOKUP(B263,Plants!$A$2:$B$39,2,0)</f>
        <v>#N/A</v>
      </c>
      <c r="B263" s="7"/>
      <c r="C263" s="8"/>
      <c r="D263" s="7"/>
      <c r="E263" s="55"/>
      <c r="F263" s="7"/>
      <c r="G263" s="56"/>
      <c r="H263" s="9"/>
      <c r="I263" s="9"/>
      <c r="J263" s="10"/>
      <c r="K263" s="9"/>
      <c r="L263" s="9"/>
      <c r="M263" s="11"/>
      <c r="N263" s="57"/>
      <c r="O263" s="8"/>
      <c r="P263" s="7"/>
      <c r="Q263" s="58"/>
    </row>
    <row r="264" spans="1:17" x14ac:dyDescent="0.25">
      <c r="A264" s="7" t="e">
        <f>VLOOKUP(B264,Plants!$A$2:$B$39,2,0)</f>
        <v>#N/A</v>
      </c>
      <c r="B264" s="7"/>
      <c r="C264" s="8"/>
      <c r="D264" s="7"/>
      <c r="E264" s="55"/>
      <c r="F264" s="7"/>
      <c r="G264" s="56"/>
      <c r="H264" s="9"/>
      <c r="I264" s="9"/>
      <c r="J264" s="10"/>
      <c r="K264" s="9"/>
      <c r="L264" s="9"/>
      <c r="M264" s="11"/>
      <c r="N264" s="57"/>
      <c r="O264" s="8"/>
      <c r="P264" s="7"/>
      <c r="Q264" s="12"/>
    </row>
    <row r="265" spans="1:17" x14ac:dyDescent="0.25">
      <c r="A265" s="7" t="e">
        <f>VLOOKUP(B265,Plants!$A$2:$B$39,2,0)</f>
        <v>#N/A</v>
      </c>
      <c r="B265" s="7"/>
      <c r="C265" s="8"/>
      <c r="D265" s="7"/>
      <c r="E265" s="55"/>
      <c r="F265" s="7"/>
      <c r="G265" s="56"/>
      <c r="H265" s="9"/>
      <c r="I265" s="9"/>
      <c r="J265" s="10"/>
      <c r="K265" s="9"/>
      <c r="L265" s="9"/>
      <c r="M265" s="11"/>
      <c r="N265" s="57"/>
      <c r="O265" s="8"/>
      <c r="P265" s="7"/>
      <c r="Q265" s="58"/>
    </row>
    <row r="266" spans="1:17" x14ac:dyDescent="0.25">
      <c r="A266" s="7" t="e">
        <f>VLOOKUP(B266,Plants!$A$2:$B$39,2,0)</f>
        <v>#N/A</v>
      </c>
      <c r="B266" s="7"/>
      <c r="C266" s="8"/>
      <c r="D266" s="7"/>
      <c r="E266" s="55"/>
      <c r="F266" s="7"/>
      <c r="G266" s="56"/>
      <c r="H266" s="9"/>
      <c r="I266" s="9"/>
      <c r="J266" s="10"/>
      <c r="K266" s="9"/>
      <c r="L266" s="9"/>
      <c r="M266" s="11"/>
      <c r="N266" s="57"/>
      <c r="O266" s="8"/>
      <c r="P266" s="7"/>
      <c r="Q266" s="58"/>
    </row>
    <row r="267" spans="1:17" x14ac:dyDescent="0.25">
      <c r="A267" s="7" t="e">
        <f>VLOOKUP(B267,Plants!$A$2:$B$39,2,0)</f>
        <v>#N/A</v>
      </c>
      <c r="B267" s="7"/>
      <c r="C267" s="8"/>
      <c r="D267" s="7"/>
      <c r="E267" s="55"/>
      <c r="F267" s="7"/>
      <c r="G267" s="56"/>
      <c r="H267" s="9"/>
      <c r="I267" s="9"/>
      <c r="J267" s="10"/>
      <c r="K267" s="9"/>
      <c r="L267" s="9"/>
      <c r="M267" s="11"/>
      <c r="N267" s="57"/>
      <c r="O267" s="8"/>
      <c r="P267" s="7"/>
      <c r="Q267" s="12"/>
    </row>
    <row r="268" spans="1:17" x14ac:dyDescent="0.25">
      <c r="A268" s="7" t="e">
        <f>VLOOKUP(B268,Plants!$A$2:$B$39,2,0)</f>
        <v>#N/A</v>
      </c>
      <c r="B268" s="7"/>
      <c r="C268" s="8"/>
      <c r="D268" s="7"/>
      <c r="E268" s="55"/>
      <c r="F268" s="7"/>
      <c r="G268" s="56"/>
      <c r="H268" s="9"/>
      <c r="I268" s="9"/>
      <c r="J268" s="10"/>
      <c r="K268" s="9"/>
      <c r="L268" s="9"/>
      <c r="M268" s="11"/>
      <c r="N268" s="57"/>
      <c r="O268" s="8"/>
      <c r="P268" s="7"/>
      <c r="Q268" s="58"/>
    </row>
    <row r="269" spans="1:17" x14ac:dyDescent="0.25">
      <c r="A269" s="7" t="e">
        <f>VLOOKUP(B269,Plants!$A$2:$B$39,2,0)</f>
        <v>#N/A</v>
      </c>
      <c r="B269" s="7"/>
      <c r="C269" s="8"/>
      <c r="D269" s="7"/>
      <c r="E269" s="55"/>
      <c r="F269" s="7"/>
      <c r="G269" s="56"/>
      <c r="H269" s="9"/>
      <c r="I269" s="9"/>
      <c r="J269" s="10"/>
      <c r="K269" s="9"/>
      <c r="L269" s="9"/>
      <c r="M269" s="11"/>
      <c r="N269" s="57"/>
      <c r="O269" s="8"/>
      <c r="P269" s="7"/>
      <c r="Q269" s="58"/>
    </row>
    <row r="270" spans="1:17" x14ac:dyDescent="0.25">
      <c r="A270" s="7" t="e">
        <f>VLOOKUP(B270,Plants!$A$2:$B$39,2,0)</f>
        <v>#N/A</v>
      </c>
      <c r="B270" s="7"/>
      <c r="C270" s="8"/>
      <c r="D270" s="7"/>
      <c r="E270" s="55"/>
      <c r="F270" s="7"/>
      <c r="G270" s="56"/>
      <c r="H270" s="9"/>
      <c r="I270" s="9"/>
      <c r="J270" s="10"/>
      <c r="K270" s="9"/>
      <c r="L270" s="9"/>
      <c r="M270" s="11"/>
      <c r="N270" s="57"/>
      <c r="O270" s="8"/>
      <c r="P270" s="7"/>
      <c r="Q270" s="58"/>
    </row>
    <row r="271" spans="1:17" x14ac:dyDescent="0.25">
      <c r="A271" s="7" t="e">
        <f>VLOOKUP(B271,Plants!$A$2:$B$39,2,0)</f>
        <v>#N/A</v>
      </c>
      <c r="B271" s="7"/>
      <c r="C271" s="8"/>
      <c r="D271" s="7"/>
      <c r="E271" s="55"/>
      <c r="F271" s="7"/>
      <c r="G271" s="56"/>
      <c r="H271" s="9"/>
      <c r="I271" s="9"/>
      <c r="J271" s="10"/>
      <c r="K271" s="9"/>
      <c r="L271" s="9"/>
      <c r="M271" s="11"/>
      <c r="N271" s="57"/>
      <c r="O271" s="8"/>
      <c r="P271" s="7"/>
      <c r="Q271" s="58"/>
    </row>
    <row r="272" spans="1:17" x14ac:dyDescent="0.25">
      <c r="A272" s="7" t="e">
        <f>VLOOKUP(B272,Plants!$A$2:$B$39,2,0)</f>
        <v>#N/A</v>
      </c>
      <c r="B272" s="7"/>
      <c r="C272" s="8"/>
      <c r="D272" s="7"/>
      <c r="E272" s="55"/>
      <c r="F272" s="7"/>
      <c r="G272" s="56"/>
      <c r="H272" s="9"/>
      <c r="I272" s="9"/>
      <c r="J272" s="10"/>
      <c r="K272" s="9"/>
      <c r="L272" s="9"/>
      <c r="M272" s="11"/>
      <c r="N272" s="57"/>
      <c r="O272" s="8"/>
      <c r="P272" s="7"/>
      <c r="Q272" s="58"/>
    </row>
    <row r="273" spans="1:17" x14ac:dyDescent="0.25">
      <c r="A273" s="7" t="e">
        <f>VLOOKUP(B273,Plants!$A$2:$B$39,2,0)</f>
        <v>#N/A</v>
      </c>
      <c r="B273" s="7"/>
      <c r="C273" s="8"/>
      <c r="D273" s="7"/>
      <c r="E273" s="55"/>
      <c r="F273" s="7"/>
      <c r="G273" s="56"/>
      <c r="H273" s="9"/>
      <c r="I273" s="9"/>
      <c r="J273" s="10"/>
      <c r="K273" s="9"/>
      <c r="L273" s="9"/>
      <c r="M273" s="11"/>
      <c r="N273" s="57"/>
      <c r="O273" s="8"/>
      <c r="P273" s="7"/>
      <c r="Q273" s="58"/>
    </row>
    <row r="274" spans="1:17" x14ac:dyDescent="0.25">
      <c r="A274" s="7" t="e">
        <f>VLOOKUP(B274,Plants!$A$2:$B$39,2,0)</f>
        <v>#N/A</v>
      </c>
      <c r="B274" s="7"/>
      <c r="C274" s="8"/>
      <c r="D274" s="7"/>
      <c r="E274" s="55"/>
      <c r="F274" s="7"/>
      <c r="G274" s="56"/>
      <c r="H274" s="9"/>
      <c r="I274" s="9"/>
      <c r="J274" s="10"/>
      <c r="K274" s="9"/>
      <c r="L274" s="9"/>
      <c r="M274" s="11"/>
      <c r="N274" s="57"/>
      <c r="O274" s="8"/>
      <c r="P274" s="7"/>
      <c r="Q274" s="58"/>
    </row>
    <row r="275" spans="1:17" x14ac:dyDescent="0.25">
      <c r="A275" s="7" t="e">
        <f>VLOOKUP(B275,Plants!$A$2:$B$39,2,0)</f>
        <v>#N/A</v>
      </c>
      <c r="B275" s="7"/>
      <c r="C275" s="8"/>
      <c r="D275" s="7"/>
      <c r="E275" s="55"/>
      <c r="F275" s="7"/>
      <c r="G275" s="56"/>
      <c r="H275" s="9"/>
      <c r="I275" s="9"/>
      <c r="J275" s="10"/>
      <c r="K275" s="9"/>
      <c r="L275" s="9"/>
      <c r="M275" s="11"/>
      <c r="N275" s="57"/>
      <c r="O275" s="8"/>
      <c r="P275" s="7"/>
      <c r="Q275" s="58"/>
    </row>
    <row r="276" spans="1:17" x14ac:dyDescent="0.25">
      <c r="A276" s="7" t="e">
        <f>VLOOKUP(B276,Plants!$A$2:$B$39,2,0)</f>
        <v>#N/A</v>
      </c>
      <c r="B276" s="7"/>
      <c r="C276" s="8"/>
      <c r="D276" s="7"/>
      <c r="E276" s="55"/>
      <c r="F276" s="7"/>
      <c r="G276" s="56"/>
      <c r="H276" s="9"/>
      <c r="I276" s="9"/>
      <c r="J276" s="10"/>
      <c r="K276" s="9"/>
      <c r="L276" s="9"/>
      <c r="M276" s="11"/>
      <c r="N276" s="57"/>
      <c r="O276" s="8"/>
      <c r="P276" s="7"/>
      <c r="Q276" s="58"/>
    </row>
    <row r="277" spans="1:17" x14ac:dyDescent="0.25">
      <c r="A277" s="7" t="e">
        <f>VLOOKUP(B277,Plants!$A$2:$B$39,2,0)</f>
        <v>#N/A</v>
      </c>
      <c r="B277" s="7"/>
      <c r="C277" s="8"/>
      <c r="D277" s="7"/>
      <c r="E277" s="55"/>
      <c r="F277" s="7"/>
      <c r="G277" s="56"/>
      <c r="H277" s="9"/>
      <c r="I277" s="9"/>
      <c r="J277" s="10"/>
      <c r="K277" s="9"/>
      <c r="L277" s="9"/>
      <c r="M277" s="11"/>
      <c r="N277" s="57"/>
      <c r="O277" s="8"/>
      <c r="P277" s="7"/>
      <c r="Q277" s="58"/>
    </row>
    <row r="278" spans="1:17" x14ac:dyDescent="0.25">
      <c r="A278" s="7" t="e">
        <f>VLOOKUP(B278,Plants!$A$2:$B$39,2,0)</f>
        <v>#N/A</v>
      </c>
      <c r="B278" s="7"/>
      <c r="C278" s="8"/>
      <c r="D278" s="7"/>
      <c r="E278" s="55"/>
      <c r="F278" s="7"/>
      <c r="G278" s="56"/>
      <c r="H278" s="9"/>
      <c r="I278" s="9"/>
      <c r="J278" s="10"/>
      <c r="K278" s="9"/>
      <c r="L278" s="9"/>
      <c r="M278" s="11"/>
      <c r="N278" s="57"/>
      <c r="O278" s="8"/>
      <c r="P278" s="7"/>
      <c r="Q278" s="58"/>
    </row>
    <row r="279" spans="1:17" x14ac:dyDescent="0.25">
      <c r="A279" s="7" t="e">
        <f>VLOOKUP(B279,Plants!$A$2:$B$39,2,0)</f>
        <v>#N/A</v>
      </c>
      <c r="B279" s="7"/>
      <c r="C279" s="8"/>
      <c r="D279" s="7"/>
      <c r="E279" s="55"/>
      <c r="F279" s="7"/>
      <c r="G279" s="56"/>
      <c r="H279" s="9"/>
      <c r="I279" s="9"/>
      <c r="J279" s="10"/>
      <c r="K279" s="9"/>
      <c r="L279" s="9"/>
      <c r="M279" s="11"/>
      <c r="N279" s="57"/>
      <c r="O279" s="8"/>
      <c r="P279" s="7"/>
      <c r="Q279" s="58"/>
    </row>
  </sheetData>
  <autoFilter ref="A2:Q279" xr:uid="{3BA8C6F5-CC23-4DF6-996B-F75C5C1F31E7}"/>
  <sortState xmlns:xlrd2="http://schemas.microsoft.com/office/spreadsheetml/2017/richdata2" ref="A3:Q112">
    <sortCondition ref="A3:A112"/>
    <sortCondition ref="F3:F112"/>
    <sortCondition ref="C3:C112"/>
  </sortState>
  <pageMargins left="0.51181102362204722" right="0.47244094488188981" top="0.55118110236220474" bottom="0.55118110236220474" header="0.31496062992125984" footer="0.31496062992125984"/>
  <pageSetup paperSize="8" scale="80" fitToHeight="0" orientation="landscape" r:id="rId1"/>
  <headerFooter>
    <oddHeader>&amp;F</oddHeader>
    <oddFooter>&amp;L&amp;A&amp;C&amp;"Calibri,Bold"Confidential&amp;RPage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9F12-432D-470F-BDEE-84A73EFF2678}">
  <sheetPr>
    <tabColor theme="3" tint="0.79998168889431442"/>
    <pageSetUpPr fitToPage="1"/>
  </sheetPr>
  <dimension ref="A1:P44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48"/>
    <col min="12" max="12" width="9.28515625" style="28" bestFit="1" customWidth="1"/>
    <col min="13" max="13" width="8.85546875" style="28"/>
    <col min="14" max="14" width="6" style="28" customWidth="1"/>
    <col min="15" max="15" width="12.5703125" style="28" customWidth="1"/>
    <col min="16" max="16" width="44.7109375" style="29" customWidth="1"/>
    <col min="17" max="16384" width="8.85546875" style="29"/>
  </cols>
  <sheetData>
    <row r="1" spans="1:16" ht="30" customHeight="1" x14ac:dyDescent="0.2">
      <c r="A1" s="26" t="s">
        <v>45</v>
      </c>
      <c r="K1" s="45" t="s">
        <v>44</v>
      </c>
      <c r="L1" s="31">
        <f>SUM(L3:L44)</f>
        <v>88227.16</v>
      </c>
    </row>
    <row r="2" spans="1:16" s="34" customFormat="1" ht="25.5" x14ac:dyDescent="0.2">
      <c r="A2" s="32" t="s">
        <v>46</v>
      </c>
      <c r="B2" s="33" t="s">
        <v>47</v>
      </c>
      <c r="C2" s="32" t="s">
        <v>48</v>
      </c>
      <c r="D2" s="32" t="s">
        <v>1</v>
      </c>
      <c r="E2" s="32" t="s">
        <v>37</v>
      </c>
      <c r="F2" s="32" t="s">
        <v>49</v>
      </c>
      <c r="G2" s="32" t="s">
        <v>3</v>
      </c>
      <c r="H2" s="32" t="s">
        <v>4</v>
      </c>
      <c r="I2" s="32" t="s">
        <v>50</v>
      </c>
      <c r="J2" s="32" t="s">
        <v>6</v>
      </c>
      <c r="K2" s="46" t="s">
        <v>51</v>
      </c>
      <c r="L2" s="32" t="s">
        <v>52</v>
      </c>
      <c r="M2" s="32" t="s">
        <v>53</v>
      </c>
      <c r="N2" s="32"/>
      <c r="O2" s="32" t="s">
        <v>54</v>
      </c>
      <c r="P2" s="32" t="s">
        <v>9</v>
      </c>
    </row>
    <row r="3" spans="1:16" x14ac:dyDescent="0.2">
      <c r="A3" s="35" t="s">
        <v>61</v>
      </c>
      <c r="B3" s="36">
        <v>45254</v>
      </c>
      <c r="C3" s="35" t="s">
        <v>93</v>
      </c>
      <c r="D3" s="35" t="s">
        <v>83</v>
      </c>
      <c r="E3" s="35" t="s">
        <v>81</v>
      </c>
      <c r="F3" s="37" t="s">
        <v>82</v>
      </c>
      <c r="G3" s="38">
        <v>40</v>
      </c>
      <c r="H3" s="38">
        <v>0</v>
      </c>
      <c r="I3" s="39">
        <v>0</v>
      </c>
      <c r="J3" s="38">
        <v>40</v>
      </c>
      <c r="K3" s="47">
        <v>10.33</v>
      </c>
      <c r="L3" s="40">
        <v>413.2</v>
      </c>
      <c r="M3" s="35" t="s">
        <v>57</v>
      </c>
      <c r="N3" s="35" t="s">
        <v>58</v>
      </c>
      <c r="O3" s="60">
        <v>45366</v>
      </c>
      <c r="P3" s="37"/>
    </row>
    <row r="4" spans="1:16" x14ac:dyDescent="0.2">
      <c r="A4" s="35" t="s">
        <v>61</v>
      </c>
      <c r="B4" s="36">
        <v>45254</v>
      </c>
      <c r="C4" s="35">
        <v>4318687</v>
      </c>
      <c r="D4" s="35" t="s">
        <v>102</v>
      </c>
      <c r="E4" s="35" t="s">
        <v>81</v>
      </c>
      <c r="F4" s="37" t="s">
        <v>82</v>
      </c>
      <c r="G4" s="38">
        <v>40</v>
      </c>
      <c r="H4" s="38">
        <v>0</v>
      </c>
      <c r="I4" s="39">
        <v>0</v>
      </c>
      <c r="J4" s="38">
        <v>40</v>
      </c>
      <c r="K4" s="47">
        <v>10.33</v>
      </c>
      <c r="L4" s="40">
        <v>413.2</v>
      </c>
      <c r="M4" s="35" t="s">
        <v>57</v>
      </c>
      <c r="N4" s="35" t="s">
        <v>58</v>
      </c>
      <c r="O4" s="41">
        <v>45366</v>
      </c>
      <c r="P4" s="37"/>
    </row>
    <row r="5" spans="1:16" x14ac:dyDescent="0.2">
      <c r="A5" s="35" t="s">
        <v>61</v>
      </c>
      <c r="B5" s="36">
        <v>45295</v>
      </c>
      <c r="C5" s="35" t="s">
        <v>98</v>
      </c>
      <c r="D5" s="35" t="s">
        <v>99</v>
      </c>
      <c r="E5" s="35" t="s">
        <v>81</v>
      </c>
      <c r="F5" s="37" t="s">
        <v>82</v>
      </c>
      <c r="G5" s="38">
        <v>40</v>
      </c>
      <c r="H5" s="38">
        <v>0</v>
      </c>
      <c r="I5" s="39">
        <v>0</v>
      </c>
      <c r="J5" s="38">
        <v>40</v>
      </c>
      <c r="K5" s="47">
        <v>10.33</v>
      </c>
      <c r="L5" s="40">
        <v>413.2</v>
      </c>
      <c r="M5" s="35" t="s">
        <v>57</v>
      </c>
      <c r="N5" s="35" t="s">
        <v>58</v>
      </c>
      <c r="O5" s="41">
        <v>45366</v>
      </c>
      <c r="P5" s="37"/>
    </row>
    <row r="6" spans="1:16" x14ac:dyDescent="0.2">
      <c r="A6" s="35" t="s">
        <v>61</v>
      </c>
      <c r="B6" s="36">
        <v>45310</v>
      </c>
      <c r="C6" s="35">
        <v>4320024</v>
      </c>
      <c r="D6" s="35" t="s">
        <v>139</v>
      </c>
      <c r="E6" s="35" t="s">
        <v>81</v>
      </c>
      <c r="F6" s="37" t="s">
        <v>82</v>
      </c>
      <c r="G6" s="38">
        <v>40</v>
      </c>
      <c r="H6" s="38">
        <v>0</v>
      </c>
      <c r="I6" s="39">
        <v>0</v>
      </c>
      <c r="J6" s="38">
        <v>40</v>
      </c>
      <c r="K6" s="47">
        <v>10.33</v>
      </c>
      <c r="L6" s="40">
        <v>413.2</v>
      </c>
      <c r="M6" s="35" t="s">
        <v>57</v>
      </c>
      <c r="N6" s="35" t="s">
        <v>58</v>
      </c>
      <c r="O6" s="41">
        <v>45366</v>
      </c>
      <c r="P6" s="37"/>
    </row>
    <row r="7" spans="1:16" x14ac:dyDescent="0.2">
      <c r="A7" s="35" t="s">
        <v>61</v>
      </c>
      <c r="B7" s="36">
        <v>45310</v>
      </c>
      <c r="C7" s="35">
        <v>4320024</v>
      </c>
      <c r="D7" s="35" t="s">
        <v>139</v>
      </c>
      <c r="E7" s="35" t="s">
        <v>140</v>
      </c>
      <c r="F7" s="37" t="s">
        <v>141</v>
      </c>
      <c r="G7" s="38">
        <v>40</v>
      </c>
      <c r="H7" s="38">
        <v>0</v>
      </c>
      <c r="I7" s="39">
        <v>0</v>
      </c>
      <c r="J7" s="38">
        <v>40</v>
      </c>
      <c r="K7" s="47">
        <v>5.46</v>
      </c>
      <c r="L7" s="40">
        <v>218.4</v>
      </c>
      <c r="M7" s="35" t="s">
        <v>57</v>
      </c>
      <c r="N7" s="35" t="s">
        <v>58</v>
      </c>
      <c r="O7" s="41">
        <v>45350</v>
      </c>
      <c r="P7" s="37"/>
    </row>
    <row r="8" spans="1:16" x14ac:dyDescent="0.2">
      <c r="A8" s="35" t="s">
        <v>61</v>
      </c>
      <c r="B8" s="36">
        <v>45310</v>
      </c>
      <c r="C8" s="35">
        <v>4320024</v>
      </c>
      <c r="D8" s="35" t="s">
        <v>139</v>
      </c>
      <c r="E8" s="35" t="s">
        <v>142</v>
      </c>
      <c r="F8" s="37" t="s">
        <v>143</v>
      </c>
      <c r="G8" s="38">
        <v>40</v>
      </c>
      <c r="H8" s="38">
        <v>0</v>
      </c>
      <c r="I8" s="39">
        <v>0</v>
      </c>
      <c r="J8" s="38">
        <v>40</v>
      </c>
      <c r="K8" s="47">
        <v>9.1199999999999992</v>
      </c>
      <c r="L8" s="40">
        <v>364.79999999999995</v>
      </c>
      <c r="M8" s="35" t="s">
        <v>57</v>
      </c>
      <c r="N8" s="35" t="s">
        <v>58</v>
      </c>
      <c r="O8" s="41">
        <v>45350</v>
      </c>
      <c r="P8" s="37"/>
    </row>
    <row r="9" spans="1:16" x14ac:dyDescent="0.2">
      <c r="A9" s="35" t="s">
        <v>59</v>
      </c>
      <c r="B9" s="36">
        <v>45245</v>
      </c>
      <c r="C9" s="35" t="s">
        <v>79</v>
      </c>
      <c r="D9" s="35" t="s">
        <v>80</v>
      </c>
      <c r="E9" s="35" t="s">
        <v>81</v>
      </c>
      <c r="F9" s="37" t="s">
        <v>82</v>
      </c>
      <c r="G9" s="38">
        <v>640</v>
      </c>
      <c r="H9" s="38">
        <v>102</v>
      </c>
      <c r="I9" s="39">
        <v>0.15937499999999999</v>
      </c>
      <c r="J9" s="38">
        <v>538</v>
      </c>
      <c r="K9" s="47">
        <v>10.33</v>
      </c>
      <c r="L9" s="40">
        <v>5557.54</v>
      </c>
      <c r="M9" s="35" t="s">
        <v>57</v>
      </c>
      <c r="N9" s="35" t="s">
        <v>58</v>
      </c>
      <c r="O9" s="41">
        <v>45343</v>
      </c>
      <c r="P9" s="37"/>
    </row>
    <row r="10" spans="1:16" x14ac:dyDescent="0.2">
      <c r="A10" s="35" t="s">
        <v>59</v>
      </c>
      <c r="B10" s="36">
        <v>45254</v>
      </c>
      <c r="C10" s="35" t="s">
        <v>84</v>
      </c>
      <c r="D10" s="35" t="s">
        <v>85</v>
      </c>
      <c r="E10" s="35" t="s">
        <v>88</v>
      </c>
      <c r="F10" s="37" t="s">
        <v>89</v>
      </c>
      <c r="G10" s="38">
        <v>2000</v>
      </c>
      <c r="H10" s="38">
        <v>60</v>
      </c>
      <c r="I10" s="39">
        <v>0.03</v>
      </c>
      <c r="J10" s="38">
        <v>1940</v>
      </c>
      <c r="K10" s="47">
        <v>2.08</v>
      </c>
      <c r="L10" s="40">
        <v>4035.2000000000003</v>
      </c>
      <c r="M10" s="35" t="s">
        <v>57</v>
      </c>
      <c r="N10" s="35" t="s">
        <v>58</v>
      </c>
      <c r="O10" s="41">
        <v>45343</v>
      </c>
      <c r="P10" s="37"/>
    </row>
    <row r="11" spans="1:16" x14ac:dyDescent="0.2">
      <c r="A11" s="35" t="s">
        <v>59</v>
      </c>
      <c r="B11" s="36">
        <v>45266</v>
      </c>
      <c r="C11" s="35" t="s">
        <v>107</v>
      </c>
      <c r="D11" s="35" t="s">
        <v>108</v>
      </c>
      <c r="E11" s="35" t="s">
        <v>81</v>
      </c>
      <c r="F11" s="37" t="s">
        <v>82</v>
      </c>
      <c r="G11" s="38">
        <v>500</v>
      </c>
      <c r="H11" s="38">
        <v>0</v>
      </c>
      <c r="I11" s="39">
        <v>0</v>
      </c>
      <c r="J11" s="38">
        <v>500</v>
      </c>
      <c r="K11" s="47">
        <v>10.33</v>
      </c>
      <c r="L11" s="40">
        <v>5165</v>
      </c>
      <c r="M11" s="35" t="s">
        <v>57</v>
      </c>
      <c r="N11" s="35" t="s">
        <v>58</v>
      </c>
      <c r="O11" s="41">
        <v>45343</v>
      </c>
      <c r="P11" s="37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81</v>
      </c>
      <c r="F12" s="37" t="s">
        <v>82</v>
      </c>
      <c r="G12" s="38">
        <v>500</v>
      </c>
      <c r="H12" s="38">
        <v>0</v>
      </c>
      <c r="I12" s="39">
        <v>0</v>
      </c>
      <c r="J12" s="38">
        <v>500</v>
      </c>
      <c r="K12" s="47">
        <v>10.33</v>
      </c>
      <c r="L12" s="40">
        <v>5165</v>
      </c>
      <c r="M12" s="35" t="s">
        <v>57</v>
      </c>
      <c r="N12" s="35" t="s">
        <v>58</v>
      </c>
      <c r="O12" s="41">
        <v>45343</v>
      </c>
      <c r="P12" s="37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109</v>
      </c>
      <c r="F13" s="37" t="s">
        <v>110</v>
      </c>
      <c r="G13" s="38">
        <v>250</v>
      </c>
      <c r="H13" s="38">
        <v>200</v>
      </c>
      <c r="I13" s="39">
        <v>0.8</v>
      </c>
      <c r="J13" s="38">
        <v>50</v>
      </c>
      <c r="K13" s="47">
        <v>2.13</v>
      </c>
      <c r="L13" s="40">
        <v>106.5</v>
      </c>
      <c r="M13" s="35" t="s">
        <v>57</v>
      </c>
      <c r="N13" s="35" t="s">
        <v>58</v>
      </c>
      <c r="O13" s="41">
        <v>45343</v>
      </c>
      <c r="P13" s="37"/>
    </row>
    <row r="14" spans="1:16" x14ac:dyDescent="0.2">
      <c r="A14" s="35" t="s">
        <v>59</v>
      </c>
      <c r="B14" s="36">
        <v>45313</v>
      </c>
      <c r="C14" s="35" t="s">
        <v>144</v>
      </c>
      <c r="D14" s="35" t="s">
        <v>145</v>
      </c>
      <c r="E14" s="35" t="s">
        <v>146</v>
      </c>
      <c r="F14" s="37" t="s">
        <v>147</v>
      </c>
      <c r="G14" s="38">
        <v>4520</v>
      </c>
      <c r="H14" s="38">
        <v>1720</v>
      </c>
      <c r="I14" s="39">
        <v>0.38053097345132741</v>
      </c>
      <c r="J14" s="38">
        <v>2800</v>
      </c>
      <c r="K14" s="47">
        <v>7.3</v>
      </c>
      <c r="L14" s="40">
        <v>20440</v>
      </c>
      <c r="M14" s="35" t="s">
        <v>57</v>
      </c>
      <c r="N14" s="35" t="s">
        <v>58</v>
      </c>
      <c r="O14" s="41">
        <v>45362</v>
      </c>
      <c r="P14" s="37"/>
    </row>
    <row r="15" spans="1:16" x14ac:dyDescent="0.2">
      <c r="A15" s="35" t="s">
        <v>59</v>
      </c>
      <c r="B15" s="36">
        <v>45217</v>
      </c>
      <c r="C15" s="35">
        <v>4319698</v>
      </c>
      <c r="D15" s="35" t="s">
        <v>148</v>
      </c>
      <c r="E15" s="35" t="s">
        <v>113</v>
      </c>
      <c r="F15" s="37" t="s">
        <v>114</v>
      </c>
      <c r="G15" s="38">
        <v>2712</v>
      </c>
      <c r="H15" s="38">
        <v>2078</v>
      </c>
      <c r="I15" s="39">
        <v>0.76622418879056042</v>
      </c>
      <c r="J15" s="38">
        <v>634</v>
      </c>
      <c r="K15" s="47">
        <v>17.88</v>
      </c>
      <c r="L15" s="40">
        <v>11335.92</v>
      </c>
      <c r="M15" s="35" t="s">
        <v>57</v>
      </c>
      <c r="N15" s="35" t="s">
        <v>58</v>
      </c>
      <c r="O15" s="60">
        <v>45397</v>
      </c>
      <c r="P15" s="37"/>
    </row>
    <row r="16" spans="1:16" x14ac:dyDescent="0.2">
      <c r="A16" s="35" t="s">
        <v>59</v>
      </c>
      <c r="B16" s="36">
        <v>45254</v>
      </c>
      <c r="C16" s="35" t="s">
        <v>84</v>
      </c>
      <c r="D16" s="35" t="s">
        <v>85</v>
      </c>
      <c r="E16" s="35" t="s">
        <v>86</v>
      </c>
      <c r="F16" s="37" t="s">
        <v>87</v>
      </c>
      <c r="G16" s="38">
        <v>3000</v>
      </c>
      <c r="H16" s="38">
        <v>1040</v>
      </c>
      <c r="I16" s="39">
        <v>0.34666666666666668</v>
      </c>
      <c r="J16" s="38">
        <v>1960</v>
      </c>
      <c r="K16" s="47">
        <v>4.32</v>
      </c>
      <c r="L16" s="40">
        <v>8467.2000000000007</v>
      </c>
      <c r="M16" s="35" t="s">
        <v>57</v>
      </c>
      <c r="N16" s="35" t="s">
        <v>58</v>
      </c>
      <c r="O16" s="60">
        <v>45350</v>
      </c>
      <c r="P16" s="37"/>
    </row>
    <row r="17" spans="1:16" x14ac:dyDescent="0.2">
      <c r="A17" s="35" t="s">
        <v>59</v>
      </c>
      <c r="B17" s="36">
        <v>45267</v>
      </c>
      <c r="C17" s="35" t="s">
        <v>111</v>
      </c>
      <c r="D17" s="35" t="s">
        <v>112</v>
      </c>
      <c r="E17" s="35" t="s">
        <v>113</v>
      </c>
      <c r="F17" s="37" t="s">
        <v>114</v>
      </c>
      <c r="G17" s="38">
        <v>600</v>
      </c>
      <c r="H17" s="38">
        <v>0</v>
      </c>
      <c r="I17" s="39">
        <v>0</v>
      </c>
      <c r="J17" s="38">
        <v>600</v>
      </c>
      <c r="K17" s="47">
        <v>17.88</v>
      </c>
      <c r="L17" s="40">
        <v>10728</v>
      </c>
      <c r="M17" s="35" t="s">
        <v>57</v>
      </c>
      <c r="N17" s="35" t="s">
        <v>58</v>
      </c>
      <c r="O17" s="41">
        <v>45397</v>
      </c>
      <c r="P17" s="37"/>
    </row>
    <row r="18" spans="1:16" x14ac:dyDescent="0.2">
      <c r="A18" s="35" t="s">
        <v>59</v>
      </c>
      <c r="B18" s="36">
        <v>45278</v>
      </c>
      <c r="C18" s="35" t="s">
        <v>105</v>
      </c>
      <c r="D18" s="35" t="s">
        <v>106</v>
      </c>
      <c r="E18" s="35" t="s">
        <v>62</v>
      </c>
      <c r="F18" s="37" t="s">
        <v>63</v>
      </c>
      <c r="G18" s="38">
        <v>300</v>
      </c>
      <c r="H18" s="38">
        <v>180</v>
      </c>
      <c r="I18" s="39">
        <v>0.6</v>
      </c>
      <c r="J18" s="38">
        <v>120</v>
      </c>
      <c r="K18" s="47">
        <v>1.9</v>
      </c>
      <c r="L18" s="40">
        <v>228</v>
      </c>
      <c r="M18" s="35" t="s">
        <v>57</v>
      </c>
      <c r="N18" s="35" t="s">
        <v>58</v>
      </c>
      <c r="O18" s="41">
        <v>45397</v>
      </c>
      <c r="P18" s="37"/>
    </row>
    <row r="19" spans="1:16" x14ac:dyDescent="0.2">
      <c r="A19" s="35" t="s">
        <v>59</v>
      </c>
      <c r="B19" s="36">
        <v>45280</v>
      </c>
      <c r="C19" s="35" t="s">
        <v>115</v>
      </c>
      <c r="D19" s="35" t="s">
        <v>116</v>
      </c>
      <c r="E19" s="35" t="s">
        <v>117</v>
      </c>
      <c r="F19" s="37" t="s">
        <v>118</v>
      </c>
      <c r="G19" s="38">
        <v>1000</v>
      </c>
      <c r="H19" s="38">
        <v>960</v>
      </c>
      <c r="I19" s="39">
        <v>0.96</v>
      </c>
      <c r="J19" s="38">
        <v>40</v>
      </c>
      <c r="K19" s="47">
        <v>10.4</v>
      </c>
      <c r="L19" s="40">
        <v>416</v>
      </c>
      <c r="M19" s="35" t="s">
        <v>57</v>
      </c>
      <c r="N19" s="35" t="s">
        <v>58</v>
      </c>
      <c r="O19" s="41">
        <v>45397</v>
      </c>
      <c r="P19" s="42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81</v>
      </c>
      <c r="F20" s="37" t="s">
        <v>82</v>
      </c>
      <c r="G20" s="38">
        <v>520</v>
      </c>
      <c r="H20" s="38">
        <v>0</v>
      </c>
      <c r="I20" s="39">
        <v>0</v>
      </c>
      <c r="J20" s="38">
        <v>520</v>
      </c>
      <c r="K20" s="47">
        <v>10.33</v>
      </c>
      <c r="L20" s="40">
        <v>5371.6</v>
      </c>
      <c r="M20" s="35" t="s">
        <v>57</v>
      </c>
      <c r="N20" s="35" t="s">
        <v>58</v>
      </c>
      <c r="O20" s="41">
        <v>45350</v>
      </c>
      <c r="P20" s="42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117</v>
      </c>
      <c r="F21" s="37" t="s">
        <v>118</v>
      </c>
      <c r="G21" s="38">
        <v>800</v>
      </c>
      <c r="H21" s="38">
        <v>0</v>
      </c>
      <c r="I21" s="39">
        <v>0</v>
      </c>
      <c r="J21" s="38">
        <v>800</v>
      </c>
      <c r="K21" s="47">
        <v>10.4</v>
      </c>
      <c r="L21" s="40">
        <v>8320</v>
      </c>
      <c r="M21" s="35" t="s">
        <v>57</v>
      </c>
      <c r="N21" s="35" t="s">
        <v>58</v>
      </c>
      <c r="O21" s="41">
        <v>45397</v>
      </c>
      <c r="P21" s="37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140</v>
      </c>
      <c r="F22" s="37" t="s">
        <v>141</v>
      </c>
      <c r="G22" s="38">
        <v>120</v>
      </c>
      <c r="H22" s="38">
        <v>0</v>
      </c>
      <c r="I22" s="39">
        <v>0</v>
      </c>
      <c r="J22" s="38">
        <v>120</v>
      </c>
      <c r="K22" s="47">
        <v>5.46</v>
      </c>
      <c r="L22" s="40">
        <v>655.20000000000005</v>
      </c>
      <c r="M22" s="35" t="s">
        <v>57</v>
      </c>
      <c r="N22" s="35" t="s">
        <v>58</v>
      </c>
      <c r="O22" s="41">
        <v>45350</v>
      </c>
      <c r="P22" s="37"/>
    </row>
    <row r="23" spans="1:16" x14ac:dyDescent="0.2">
      <c r="A23" s="35"/>
      <c r="B23" s="36"/>
      <c r="C23" s="35"/>
      <c r="D23" s="35"/>
      <c r="E23" s="35"/>
      <c r="F23" s="37"/>
      <c r="G23" s="38"/>
      <c r="H23" s="38"/>
      <c r="I23" s="39"/>
      <c r="J23" s="38"/>
      <c r="K23" s="47"/>
      <c r="L23" s="40"/>
      <c r="M23" s="35"/>
      <c r="N23" s="35"/>
      <c r="O23" s="41"/>
      <c r="P23" s="37"/>
    </row>
    <row r="24" spans="1:16" x14ac:dyDescent="0.2">
      <c r="A24" s="35"/>
      <c r="B24" s="36"/>
      <c r="C24" s="35"/>
      <c r="D24" s="35"/>
      <c r="E24" s="35"/>
      <c r="F24" s="37"/>
      <c r="G24" s="38"/>
      <c r="H24" s="38"/>
      <c r="I24" s="39"/>
      <c r="J24" s="38"/>
      <c r="K24" s="47"/>
      <c r="L24" s="40"/>
      <c r="M24" s="35"/>
      <c r="N24" s="35"/>
      <c r="O24" s="41"/>
      <c r="P24" s="37"/>
    </row>
    <row r="25" spans="1:16" x14ac:dyDescent="0.2">
      <c r="A25" s="35"/>
      <c r="B25" s="36"/>
      <c r="C25" s="35"/>
      <c r="D25" s="35"/>
      <c r="E25" s="35"/>
      <c r="F25" s="37"/>
      <c r="G25" s="38"/>
      <c r="H25" s="38"/>
      <c r="I25" s="39"/>
      <c r="J25" s="38"/>
      <c r="K25" s="47"/>
      <c r="L25" s="40"/>
      <c r="M25" s="35"/>
      <c r="N25" s="35"/>
      <c r="O25" s="41"/>
      <c r="P25" s="37"/>
    </row>
    <row r="26" spans="1:16" x14ac:dyDescent="0.2">
      <c r="A26" s="35"/>
      <c r="B26" s="36"/>
      <c r="C26" s="35"/>
      <c r="D26" s="35"/>
      <c r="E26" s="35"/>
      <c r="F26" s="37"/>
      <c r="G26" s="38"/>
      <c r="H26" s="38"/>
      <c r="I26" s="39"/>
      <c r="J26" s="38"/>
      <c r="K26" s="47"/>
      <c r="L26" s="40"/>
      <c r="M26" s="35"/>
      <c r="N26" s="35"/>
      <c r="O26" s="41"/>
      <c r="P26" s="37"/>
    </row>
    <row r="27" spans="1:16" x14ac:dyDescent="0.2">
      <c r="A27" s="35"/>
      <c r="B27" s="36"/>
      <c r="C27" s="35"/>
      <c r="D27" s="35"/>
      <c r="E27" s="35"/>
      <c r="F27" s="37"/>
      <c r="G27" s="38"/>
      <c r="H27" s="38"/>
      <c r="I27" s="39"/>
      <c r="J27" s="38"/>
      <c r="K27" s="47"/>
      <c r="L27" s="40"/>
      <c r="M27" s="35"/>
      <c r="N27" s="35"/>
      <c r="O27" s="41"/>
      <c r="P27" s="37"/>
    </row>
    <row r="28" spans="1:16" x14ac:dyDescent="0.2">
      <c r="A28" s="35"/>
      <c r="B28" s="36"/>
      <c r="C28" s="35"/>
      <c r="D28" s="35"/>
      <c r="E28" s="35"/>
      <c r="F28" s="37"/>
      <c r="G28" s="38"/>
      <c r="H28" s="38"/>
      <c r="I28" s="39"/>
      <c r="J28" s="38"/>
      <c r="K28" s="47"/>
      <c r="L28" s="40"/>
      <c r="M28" s="35"/>
      <c r="N28" s="35"/>
      <c r="O28" s="41"/>
      <c r="P28" s="37"/>
    </row>
    <row r="29" spans="1:16" x14ac:dyDescent="0.2">
      <c r="A29" s="35"/>
      <c r="B29" s="36"/>
      <c r="C29" s="35"/>
      <c r="D29" s="35"/>
      <c r="E29" s="35"/>
      <c r="F29" s="37"/>
      <c r="G29" s="38"/>
      <c r="H29" s="38"/>
      <c r="I29" s="39"/>
      <c r="J29" s="38"/>
      <c r="K29" s="47"/>
      <c r="L29" s="40"/>
      <c r="M29" s="35"/>
      <c r="N29" s="35"/>
      <c r="O29" s="41"/>
      <c r="P29" s="37"/>
    </row>
    <row r="30" spans="1:16" x14ac:dyDescent="0.2">
      <c r="A30" s="35"/>
      <c r="B30" s="36"/>
      <c r="C30" s="35"/>
      <c r="D30" s="35"/>
      <c r="E30" s="35"/>
      <c r="F30" s="37"/>
      <c r="G30" s="38"/>
      <c r="H30" s="38"/>
      <c r="I30" s="39"/>
      <c r="J30" s="38"/>
      <c r="K30" s="47"/>
      <c r="L30" s="40"/>
      <c r="M30" s="35"/>
      <c r="N30" s="35"/>
      <c r="O30" s="41"/>
      <c r="P30" s="37"/>
    </row>
    <row r="31" spans="1:16" x14ac:dyDescent="0.2">
      <c r="A31" s="35"/>
      <c r="B31" s="36"/>
      <c r="C31" s="35"/>
      <c r="D31" s="35"/>
      <c r="E31" s="35"/>
      <c r="F31" s="37"/>
      <c r="G31" s="38"/>
      <c r="H31" s="38"/>
      <c r="I31" s="39"/>
      <c r="J31" s="38"/>
      <c r="K31" s="47"/>
      <c r="L31" s="40"/>
      <c r="M31" s="35"/>
      <c r="N31" s="35"/>
      <c r="O31" s="41"/>
      <c r="P31" s="37"/>
    </row>
    <row r="32" spans="1:16" x14ac:dyDescent="0.2">
      <c r="A32" s="35"/>
      <c r="B32" s="36"/>
      <c r="C32" s="35"/>
      <c r="D32" s="35"/>
      <c r="E32" s="35"/>
      <c r="F32" s="37"/>
      <c r="G32" s="38"/>
      <c r="H32" s="38"/>
      <c r="I32" s="39"/>
      <c r="J32" s="38"/>
      <c r="K32" s="47"/>
      <c r="L32" s="40"/>
      <c r="M32" s="35"/>
      <c r="N32" s="35"/>
      <c r="O32" s="41"/>
      <c r="P32" s="37"/>
    </row>
    <row r="33" spans="1:16" x14ac:dyDescent="0.2">
      <c r="A33" s="35"/>
      <c r="B33" s="36"/>
      <c r="C33" s="35"/>
      <c r="D33" s="35"/>
      <c r="E33" s="35"/>
      <c r="F33" s="37"/>
      <c r="G33" s="38"/>
      <c r="H33" s="38"/>
      <c r="I33" s="39"/>
      <c r="J33" s="38"/>
      <c r="K33" s="47"/>
      <c r="L33" s="40"/>
      <c r="M33" s="35"/>
      <c r="N33" s="35"/>
      <c r="O33" s="41"/>
      <c r="P33" s="37"/>
    </row>
    <row r="34" spans="1:16" x14ac:dyDescent="0.2">
      <c r="A34" s="35"/>
      <c r="B34" s="36"/>
      <c r="C34" s="35"/>
      <c r="D34" s="35"/>
      <c r="E34" s="35"/>
      <c r="F34" s="37"/>
      <c r="G34" s="38"/>
      <c r="H34" s="38"/>
      <c r="I34" s="39"/>
      <c r="J34" s="38"/>
      <c r="K34" s="47"/>
      <c r="L34" s="40"/>
      <c r="M34" s="35"/>
      <c r="N34" s="35"/>
      <c r="O34" s="41"/>
      <c r="P34" s="37"/>
    </row>
    <row r="35" spans="1:16" x14ac:dyDescent="0.2">
      <c r="A35" s="35"/>
      <c r="B35" s="36"/>
      <c r="C35" s="35"/>
      <c r="D35" s="35"/>
      <c r="E35" s="35"/>
      <c r="F35" s="37"/>
      <c r="G35" s="38"/>
      <c r="H35" s="38"/>
      <c r="I35" s="39"/>
      <c r="J35" s="38"/>
      <c r="K35" s="47"/>
      <c r="L35" s="40"/>
      <c r="M35" s="35"/>
      <c r="N35" s="35"/>
      <c r="O35" s="41"/>
      <c r="P35" s="37"/>
    </row>
    <row r="36" spans="1:16" x14ac:dyDescent="0.2">
      <c r="A36" s="35"/>
      <c r="B36" s="36"/>
      <c r="C36" s="35"/>
      <c r="D36" s="35"/>
      <c r="E36" s="35"/>
      <c r="F36" s="37"/>
      <c r="G36" s="38"/>
      <c r="H36" s="38"/>
      <c r="I36" s="39"/>
      <c r="J36" s="38"/>
      <c r="K36" s="47"/>
      <c r="L36" s="40"/>
      <c r="M36" s="35"/>
      <c r="N36" s="35"/>
      <c r="O36" s="41"/>
      <c r="P36" s="37"/>
    </row>
    <row r="37" spans="1:16" x14ac:dyDescent="0.2">
      <c r="A37" s="35"/>
      <c r="B37" s="36"/>
      <c r="C37" s="35"/>
      <c r="D37" s="35"/>
      <c r="E37" s="35"/>
      <c r="F37" s="37"/>
      <c r="G37" s="38"/>
      <c r="H37" s="38"/>
      <c r="I37" s="39"/>
      <c r="J37" s="38"/>
      <c r="K37" s="47"/>
      <c r="L37" s="40"/>
      <c r="M37" s="35"/>
      <c r="N37" s="35"/>
      <c r="O37" s="41"/>
      <c r="P37" s="37"/>
    </row>
    <row r="38" spans="1:16" x14ac:dyDescent="0.2">
      <c r="A38" s="35"/>
      <c r="B38" s="36"/>
      <c r="C38" s="35"/>
      <c r="D38" s="35"/>
      <c r="E38" s="35"/>
      <c r="F38" s="37"/>
      <c r="G38" s="38"/>
      <c r="H38" s="38"/>
      <c r="I38" s="39"/>
      <c r="J38" s="38"/>
      <c r="K38" s="47"/>
      <c r="L38" s="40"/>
      <c r="M38" s="35"/>
      <c r="N38" s="35"/>
      <c r="O38" s="41"/>
      <c r="P38" s="37"/>
    </row>
    <row r="39" spans="1:16" x14ac:dyDescent="0.2">
      <c r="A39" s="35"/>
      <c r="B39" s="36"/>
      <c r="C39" s="35"/>
      <c r="D39" s="35"/>
      <c r="E39" s="35"/>
      <c r="F39" s="37"/>
      <c r="G39" s="38"/>
      <c r="H39" s="38"/>
      <c r="I39" s="39"/>
      <c r="J39" s="38"/>
      <c r="K39" s="47"/>
      <c r="L39" s="40"/>
      <c r="M39" s="35"/>
      <c r="N39" s="35"/>
      <c r="O39" s="41"/>
      <c r="P39" s="37"/>
    </row>
    <row r="40" spans="1:16" x14ac:dyDescent="0.2">
      <c r="A40" s="35"/>
      <c r="B40" s="36"/>
      <c r="C40" s="35"/>
      <c r="D40" s="35"/>
      <c r="E40" s="35"/>
      <c r="F40" s="37"/>
      <c r="G40" s="38"/>
      <c r="H40" s="38"/>
      <c r="I40" s="39"/>
      <c r="J40" s="38"/>
      <c r="K40" s="47"/>
      <c r="L40" s="40"/>
      <c r="M40" s="35"/>
      <c r="N40" s="35"/>
      <c r="O40" s="41"/>
      <c r="P40" s="37"/>
    </row>
    <row r="41" spans="1:16" x14ac:dyDescent="0.2">
      <c r="A41" s="35"/>
      <c r="B41" s="36"/>
      <c r="C41" s="35"/>
      <c r="D41" s="35"/>
      <c r="E41" s="35"/>
      <c r="F41" s="37"/>
      <c r="G41" s="38"/>
      <c r="H41" s="38"/>
      <c r="I41" s="39"/>
      <c r="J41" s="38"/>
      <c r="K41" s="47"/>
      <c r="L41" s="40"/>
      <c r="M41" s="35"/>
      <c r="N41" s="35"/>
      <c r="O41" s="41"/>
      <c r="P41" s="37"/>
    </row>
    <row r="42" spans="1:16" x14ac:dyDescent="0.2">
      <c r="A42" s="35"/>
      <c r="B42" s="36"/>
      <c r="C42" s="35"/>
      <c r="D42" s="35"/>
      <c r="E42" s="35"/>
      <c r="F42" s="37"/>
      <c r="G42" s="38"/>
      <c r="H42" s="38"/>
      <c r="I42" s="39"/>
      <c r="J42" s="38"/>
      <c r="K42" s="47"/>
      <c r="L42" s="40"/>
      <c r="M42" s="35"/>
      <c r="N42" s="35"/>
      <c r="O42" s="41"/>
      <c r="P42" s="37"/>
    </row>
    <row r="43" spans="1:16" x14ac:dyDescent="0.2">
      <c r="A43" s="35"/>
      <c r="B43" s="36"/>
      <c r="C43" s="35"/>
      <c r="D43" s="35"/>
      <c r="E43" s="35"/>
      <c r="F43" s="37"/>
      <c r="G43" s="38"/>
      <c r="H43" s="38"/>
      <c r="I43" s="39"/>
      <c r="J43" s="38"/>
      <c r="K43" s="47"/>
      <c r="L43" s="40"/>
      <c r="M43" s="35"/>
      <c r="N43" s="35"/>
      <c r="O43" s="41"/>
      <c r="P43" s="37"/>
    </row>
    <row r="44" spans="1:16" x14ac:dyDescent="0.2">
      <c r="A44" s="35"/>
      <c r="B44" s="36"/>
      <c r="C44" s="35"/>
      <c r="D44" s="35"/>
      <c r="E44" s="35"/>
      <c r="F44" s="37"/>
      <c r="G44" s="38"/>
      <c r="H44" s="38"/>
      <c r="I44" s="39"/>
      <c r="J44" s="38"/>
      <c r="K44" s="47"/>
      <c r="L44" s="40"/>
      <c r="M44" s="35"/>
      <c r="N44" s="35"/>
      <c r="O44" s="41"/>
      <c r="P44" s="37"/>
    </row>
  </sheetData>
  <autoFilter ref="A2:O14" xr:uid="{00000000-0001-0000-0000-000000000000}">
    <sortState xmlns:xlrd2="http://schemas.microsoft.com/office/spreadsheetml/2017/richdata2" ref="A3:O14">
      <sortCondition ref="A2:A14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A80-5574-4226-94E3-715722F9FEB7}">
  <sheetPr>
    <tabColor theme="3" tint="0.39997558519241921"/>
    <pageSetUpPr fitToPage="1"/>
  </sheetPr>
  <dimension ref="A1:P140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hidden="1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28"/>
    <col min="12" max="12" width="11" style="28" customWidth="1"/>
    <col min="13" max="14" width="8.85546875" style="28"/>
    <col min="15" max="15" width="12.5703125" style="28" customWidth="1"/>
    <col min="16" max="16" width="59.140625" style="29" customWidth="1"/>
    <col min="17" max="16384" width="8.85546875" style="29"/>
  </cols>
  <sheetData>
    <row r="1" spans="1:16" ht="30" customHeight="1" x14ac:dyDescent="0.2">
      <c r="A1" s="26" t="s">
        <v>55</v>
      </c>
      <c r="K1" s="30" t="s">
        <v>44</v>
      </c>
      <c r="L1" s="31">
        <f>SUM(L3:L136)</f>
        <v>69813.24000000002</v>
      </c>
    </row>
    <row r="2" spans="1:16" s="34" customFormat="1" ht="25.5" x14ac:dyDescent="0.2">
      <c r="A2" s="43" t="s">
        <v>46</v>
      </c>
      <c r="B2" s="44" t="s">
        <v>47</v>
      </c>
      <c r="C2" s="43" t="s">
        <v>48</v>
      </c>
      <c r="D2" s="43" t="s">
        <v>1</v>
      </c>
      <c r="E2" s="43" t="s">
        <v>37</v>
      </c>
      <c r="F2" s="43" t="s">
        <v>49</v>
      </c>
      <c r="G2" s="43" t="s">
        <v>3</v>
      </c>
      <c r="H2" s="43" t="s">
        <v>4</v>
      </c>
      <c r="I2" s="43" t="s">
        <v>50</v>
      </c>
      <c r="J2" s="43" t="s">
        <v>6</v>
      </c>
      <c r="K2" s="43" t="s">
        <v>51</v>
      </c>
      <c r="L2" s="43" t="s">
        <v>52</v>
      </c>
      <c r="M2" s="43" t="s">
        <v>53</v>
      </c>
      <c r="N2" s="43"/>
      <c r="O2" s="43" t="s">
        <v>54</v>
      </c>
      <c r="P2" s="43" t="s">
        <v>9</v>
      </c>
    </row>
    <row r="3" spans="1:16" x14ac:dyDescent="0.2">
      <c r="A3" s="35" t="s">
        <v>61</v>
      </c>
      <c r="B3" s="36">
        <v>45313</v>
      </c>
      <c r="C3" s="35">
        <v>4320033</v>
      </c>
      <c r="D3" s="35" t="s">
        <v>149</v>
      </c>
      <c r="E3" s="35" t="s">
        <v>150</v>
      </c>
      <c r="F3" s="37" t="s">
        <v>151</v>
      </c>
      <c r="G3" s="38">
        <v>600</v>
      </c>
      <c r="H3" s="38">
        <v>0</v>
      </c>
      <c r="I3" s="39">
        <v>7.0000000000000007E-2</v>
      </c>
      <c r="J3" s="38">
        <v>582</v>
      </c>
      <c r="K3" s="38">
        <v>14.3</v>
      </c>
      <c r="L3" s="40">
        <v>8580</v>
      </c>
      <c r="M3" s="35" t="s">
        <v>64</v>
      </c>
      <c r="N3" s="35" t="s">
        <v>65</v>
      </c>
      <c r="O3" s="60">
        <v>45373</v>
      </c>
      <c r="P3" s="37"/>
    </row>
    <row r="4" spans="1:16" x14ac:dyDescent="0.2">
      <c r="A4" s="35" t="s">
        <v>61</v>
      </c>
      <c r="B4" s="36">
        <v>45295</v>
      </c>
      <c r="C4" s="35" t="s">
        <v>98</v>
      </c>
      <c r="D4" s="35" t="s">
        <v>99</v>
      </c>
      <c r="E4" s="35" t="s">
        <v>119</v>
      </c>
      <c r="F4" s="37" t="s">
        <v>120</v>
      </c>
      <c r="G4" s="38">
        <v>250</v>
      </c>
      <c r="H4" s="38">
        <v>0</v>
      </c>
      <c r="I4" s="39">
        <v>0</v>
      </c>
      <c r="J4" s="38">
        <v>250</v>
      </c>
      <c r="K4" s="38">
        <v>0.82</v>
      </c>
      <c r="L4" s="40">
        <v>205</v>
      </c>
      <c r="M4" s="35" t="s">
        <v>64</v>
      </c>
      <c r="N4" s="35" t="s">
        <v>65</v>
      </c>
      <c r="O4" s="60">
        <v>45394</v>
      </c>
      <c r="P4" s="60"/>
    </row>
    <row r="5" spans="1:16" x14ac:dyDescent="0.2">
      <c r="A5" s="35" t="s">
        <v>61</v>
      </c>
      <c r="B5" s="36">
        <v>45254</v>
      </c>
      <c r="C5" s="35" t="s">
        <v>93</v>
      </c>
      <c r="D5" s="35" t="s">
        <v>83</v>
      </c>
      <c r="E5" s="35" t="s">
        <v>103</v>
      </c>
      <c r="F5" s="37" t="s">
        <v>104</v>
      </c>
      <c r="G5" s="38">
        <v>144</v>
      </c>
      <c r="H5" s="38">
        <v>0</v>
      </c>
      <c r="I5" s="39">
        <v>0</v>
      </c>
      <c r="J5" s="38">
        <v>144</v>
      </c>
      <c r="K5" s="38">
        <v>2.8</v>
      </c>
      <c r="L5" s="40">
        <v>403.2</v>
      </c>
      <c r="M5" s="35" t="s">
        <v>10</v>
      </c>
      <c r="N5" s="35" t="s">
        <v>58</v>
      </c>
      <c r="O5" s="60">
        <v>45408</v>
      </c>
      <c r="P5" s="60"/>
    </row>
    <row r="6" spans="1:16" x14ac:dyDescent="0.2">
      <c r="A6" s="35" t="s">
        <v>59</v>
      </c>
      <c r="B6" s="36">
        <v>45254</v>
      </c>
      <c r="C6" s="35" t="s">
        <v>84</v>
      </c>
      <c r="D6" s="35" t="s">
        <v>85</v>
      </c>
      <c r="E6" s="35" t="s">
        <v>90</v>
      </c>
      <c r="F6" s="37" t="s">
        <v>91</v>
      </c>
      <c r="G6" s="38">
        <v>301</v>
      </c>
      <c r="H6" s="38">
        <v>49</v>
      </c>
      <c r="I6" s="39">
        <v>0.16279069767441862</v>
      </c>
      <c r="J6" s="38">
        <v>252</v>
      </c>
      <c r="K6" s="38">
        <v>11.08</v>
      </c>
      <c r="L6" s="40">
        <v>2792.16</v>
      </c>
      <c r="M6" s="35" t="s">
        <v>64</v>
      </c>
      <c r="N6" s="35" t="s">
        <v>58</v>
      </c>
      <c r="O6" s="60" t="s">
        <v>152</v>
      </c>
      <c r="P6" s="60"/>
    </row>
    <row r="7" spans="1:16" x14ac:dyDescent="0.2">
      <c r="A7" s="35" t="s">
        <v>59</v>
      </c>
      <c r="B7" s="36">
        <v>45266</v>
      </c>
      <c r="C7" s="35" t="s">
        <v>107</v>
      </c>
      <c r="D7" s="35" t="s">
        <v>108</v>
      </c>
      <c r="E7" s="35" t="s">
        <v>121</v>
      </c>
      <c r="F7" s="37" t="s">
        <v>122</v>
      </c>
      <c r="G7" s="38">
        <v>30</v>
      </c>
      <c r="H7" s="38">
        <v>0</v>
      </c>
      <c r="I7" s="39">
        <v>0</v>
      </c>
      <c r="J7" s="38">
        <v>30</v>
      </c>
      <c r="K7" s="38">
        <v>7.39</v>
      </c>
      <c r="L7" s="40">
        <v>221.7</v>
      </c>
      <c r="M7" s="35" t="s">
        <v>64</v>
      </c>
      <c r="N7" s="35" t="s">
        <v>60</v>
      </c>
      <c r="O7" s="60" t="s">
        <v>92</v>
      </c>
      <c r="P7" s="60"/>
    </row>
    <row r="8" spans="1:16" x14ac:dyDescent="0.2">
      <c r="A8" s="35" t="s">
        <v>59</v>
      </c>
      <c r="B8" s="36">
        <v>45266</v>
      </c>
      <c r="C8" s="35" t="s">
        <v>107</v>
      </c>
      <c r="D8" s="35" t="s">
        <v>108</v>
      </c>
      <c r="E8" s="35" t="s">
        <v>123</v>
      </c>
      <c r="F8" s="37" t="s">
        <v>124</v>
      </c>
      <c r="G8" s="38">
        <v>30</v>
      </c>
      <c r="H8" s="38">
        <v>4</v>
      </c>
      <c r="I8" s="39">
        <v>0.13333333333333333</v>
      </c>
      <c r="J8" s="38">
        <v>26</v>
      </c>
      <c r="K8" s="38">
        <v>13.49</v>
      </c>
      <c r="L8" s="40">
        <v>350.74</v>
      </c>
      <c r="M8" s="35" t="s">
        <v>10</v>
      </c>
      <c r="N8" s="35" t="s">
        <v>60</v>
      </c>
      <c r="O8" s="60" t="s">
        <v>92</v>
      </c>
      <c r="P8" s="60"/>
    </row>
    <row r="9" spans="1:16" x14ac:dyDescent="0.2">
      <c r="A9" s="35" t="s">
        <v>59</v>
      </c>
      <c r="B9" s="36">
        <v>45266</v>
      </c>
      <c r="C9" s="35" t="s">
        <v>107</v>
      </c>
      <c r="D9" s="35" t="s">
        <v>108</v>
      </c>
      <c r="E9" s="35" t="s">
        <v>125</v>
      </c>
      <c r="F9" s="37" t="s">
        <v>126</v>
      </c>
      <c r="G9" s="38">
        <v>30</v>
      </c>
      <c r="H9" s="38">
        <v>0</v>
      </c>
      <c r="I9" s="39">
        <v>0</v>
      </c>
      <c r="J9" s="38">
        <v>30</v>
      </c>
      <c r="K9" s="38">
        <v>6.72</v>
      </c>
      <c r="L9" s="40">
        <v>201.6</v>
      </c>
      <c r="M9" s="35" t="s">
        <v>64</v>
      </c>
      <c r="N9" s="35" t="s">
        <v>60</v>
      </c>
      <c r="O9" s="60" t="s">
        <v>92</v>
      </c>
      <c r="P9" s="60"/>
    </row>
    <row r="10" spans="1:16" x14ac:dyDescent="0.2">
      <c r="A10" s="35" t="s">
        <v>59</v>
      </c>
      <c r="B10" s="36">
        <v>45266</v>
      </c>
      <c r="C10" s="35" t="s">
        <v>107</v>
      </c>
      <c r="D10" s="35" t="s">
        <v>108</v>
      </c>
      <c r="E10" s="35" t="s">
        <v>127</v>
      </c>
      <c r="F10" s="37" t="s">
        <v>128</v>
      </c>
      <c r="G10" s="38">
        <v>30</v>
      </c>
      <c r="H10" s="38">
        <v>4</v>
      </c>
      <c r="I10" s="39">
        <v>0.13333333333333333</v>
      </c>
      <c r="J10" s="38">
        <v>26</v>
      </c>
      <c r="K10" s="38">
        <v>12.27</v>
      </c>
      <c r="L10" s="40">
        <v>319.02</v>
      </c>
      <c r="M10" s="35" t="s">
        <v>64</v>
      </c>
      <c r="N10" s="35" t="s">
        <v>60</v>
      </c>
      <c r="O10" s="60" t="s">
        <v>92</v>
      </c>
      <c r="P10" s="60"/>
    </row>
    <row r="11" spans="1:16" x14ac:dyDescent="0.2">
      <c r="A11" s="35" t="s">
        <v>59</v>
      </c>
      <c r="B11" s="36">
        <v>45278</v>
      </c>
      <c r="C11" s="35" t="s">
        <v>105</v>
      </c>
      <c r="D11" s="35" t="s">
        <v>106</v>
      </c>
      <c r="E11" s="35" t="s">
        <v>129</v>
      </c>
      <c r="F11" s="37" t="s">
        <v>130</v>
      </c>
      <c r="G11" s="38">
        <v>30</v>
      </c>
      <c r="H11" s="38">
        <v>2</v>
      </c>
      <c r="I11" s="39">
        <v>6.6666666666666666E-2</v>
      </c>
      <c r="J11" s="38">
        <v>28</v>
      </c>
      <c r="K11" s="38">
        <v>13.49</v>
      </c>
      <c r="L11" s="40">
        <v>377.72</v>
      </c>
      <c r="M11" s="35" t="s">
        <v>64</v>
      </c>
      <c r="N11" s="35" t="s">
        <v>60</v>
      </c>
      <c r="O11" s="60" t="s">
        <v>92</v>
      </c>
      <c r="P11" s="60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121</v>
      </c>
      <c r="F12" s="37" t="s">
        <v>122</v>
      </c>
      <c r="G12" s="38">
        <v>30</v>
      </c>
      <c r="H12" s="38">
        <v>0</v>
      </c>
      <c r="I12" s="39">
        <v>0</v>
      </c>
      <c r="J12" s="38">
        <v>30</v>
      </c>
      <c r="K12" s="38">
        <v>7.39</v>
      </c>
      <c r="L12" s="40">
        <v>221.7</v>
      </c>
      <c r="M12" s="35" t="s">
        <v>64</v>
      </c>
      <c r="N12" s="35" t="s">
        <v>60</v>
      </c>
      <c r="O12" s="60" t="s">
        <v>92</v>
      </c>
      <c r="P12" s="60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123</v>
      </c>
      <c r="F13" s="37" t="s">
        <v>124</v>
      </c>
      <c r="G13" s="38">
        <v>30</v>
      </c>
      <c r="H13" s="38">
        <v>0</v>
      </c>
      <c r="I13" s="39">
        <v>0</v>
      </c>
      <c r="J13" s="38">
        <v>30</v>
      </c>
      <c r="K13" s="38">
        <v>13.49</v>
      </c>
      <c r="L13" s="40">
        <v>404.7</v>
      </c>
      <c r="M13" s="35" t="s">
        <v>10</v>
      </c>
      <c r="N13" s="35" t="s">
        <v>60</v>
      </c>
      <c r="O13" s="60" t="s">
        <v>92</v>
      </c>
      <c r="P13" s="60"/>
    </row>
    <row r="14" spans="1:16" x14ac:dyDescent="0.2">
      <c r="A14" s="35" t="s">
        <v>59</v>
      </c>
      <c r="B14" s="36">
        <v>45278</v>
      </c>
      <c r="C14" s="35" t="s">
        <v>105</v>
      </c>
      <c r="D14" s="35" t="s">
        <v>106</v>
      </c>
      <c r="E14" s="35" t="s">
        <v>125</v>
      </c>
      <c r="F14" s="37" t="s">
        <v>126</v>
      </c>
      <c r="G14" s="38">
        <v>30</v>
      </c>
      <c r="H14" s="38">
        <v>0</v>
      </c>
      <c r="I14" s="39">
        <v>0</v>
      </c>
      <c r="J14" s="38">
        <v>30</v>
      </c>
      <c r="K14" s="38">
        <v>6.72</v>
      </c>
      <c r="L14" s="40">
        <v>201.6</v>
      </c>
      <c r="M14" s="35" t="s">
        <v>64</v>
      </c>
      <c r="N14" s="35" t="s">
        <v>60</v>
      </c>
      <c r="O14" s="60" t="s">
        <v>92</v>
      </c>
      <c r="P14" s="60"/>
    </row>
    <row r="15" spans="1:16" x14ac:dyDescent="0.2">
      <c r="A15" s="35" t="s">
        <v>59</v>
      </c>
      <c r="B15" s="36">
        <v>45278</v>
      </c>
      <c r="C15" s="35" t="s">
        <v>105</v>
      </c>
      <c r="D15" s="35" t="s">
        <v>106</v>
      </c>
      <c r="E15" s="35" t="s">
        <v>127</v>
      </c>
      <c r="F15" s="37" t="s">
        <v>128</v>
      </c>
      <c r="G15" s="38">
        <v>30</v>
      </c>
      <c r="H15" s="38">
        <v>0</v>
      </c>
      <c r="I15" s="39">
        <v>0</v>
      </c>
      <c r="J15" s="38">
        <v>30</v>
      </c>
      <c r="K15" s="38">
        <v>12.27</v>
      </c>
      <c r="L15" s="40">
        <v>368.09999999999997</v>
      </c>
      <c r="M15" s="35" t="s">
        <v>64</v>
      </c>
      <c r="N15" s="35" t="s">
        <v>60</v>
      </c>
      <c r="O15" s="60" t="s">
        <v>92</v>
      </c>
      <c r="P15" s="60"/>
    </row>
    <row r="16" spans="1:16" x14ac:dyDescent="0.2">
      <c r="A16" s="35" t="s">
        <v>59</v>
      </c>
      <c r="B16" s="36">
        <v>45308</v>
      </c>
      <c r="C16" s="35">
        <v>4319948</v>
      </c>
      <c r="D16" s="35" t="s">
        <v>153</v>
      </c>
      <c r="E16" s="35" t="s">
        <v>100</v>
      </c>
      <c r="F16" s="37" t="s">
        <v>101</v>
      </c>
      <c r="G16" s="38">
        <v>300</v>
      </c>
      <c r="H16" s="38">
        <v>0</v>
      </c>
      <c r="I16" s="39">
        <v>0</v>
      </c>
      <c r="J16" s="38">
        <v>300</v>
      </c>
      <c r="K16" s="38">
        <v>52.58</v>
      </c>
      <c r="L16" s="40">
        <v>15774</v>
      </c>
      <c r="M16" s="35" t="s">
        <v>64</v>
      </c>
      <c r="N16" s="35" t="s">
        <v>58</v>
      </c>
      <c r="O16" s="60" t="s">
        <v>154</v>
      </c>
      <c r="P16" s="60"/>
    </row>
    <row r="17" spans="1:16" x14ac:dyDescent="0.2">
      <c r="A17" s="35" t="s">
        <v>59</v>
      </c>
      <c r="B17" s="36">
        <v>45308</v>
      </c>
      <c r="C17" s="35">
        <v>4319948</v>
      </c>
      <c r="D17" s="35" t="s">
        <v>153</v>
      </c>
      <c r="E17" s="35" t="s">
        <v>131</v>
      </c>
      <c r="F17" s="37" t="s">
        <v>132</v>
      </c>
      <c r="G17" s="38">
        <v>100</v>
      </c>
      <c r="H17" s="38">
        <v>0</v>
      </c>
      <c r="I17" s="39">
        <v>0</v>
      </c>
      <c r="J17" s="38">
        <v>100</v>
      </c>
      <c r="K17" s="38">
        <v>60.65</v>
      </c>
      <c r="L17" s="40">
        <v>6065</v>
      </c>
      <c r="M17" s="35" t="s">
        <v>64</v>
      </c>
      <c r="N17" s="35" t="s">
        <v>60</v>
      </c>
      <c r="O17" s="60" t="s">
        <v>154</v>
      </c>
      <c r="P17" s="60"/>
    </row>
    <row r="18" spans="1:16" x14ac:dyDescent="0.2">
      <c r="A18" s="35" t="s">
        <v>59</v>
      </c>
      <c r="B18" s="36">
        <v>45308</v>
      </c>
      <c r="C18" s="35">
        <v>4319948</v>
      </c>
      <c r="D18" s="35" t="s">
        <v>153</v>
      </c>
      <c r="E18" s="35" t="s">
        <v>155</v>
      </c>
      <c r="F18" s="37" t="s">
        <v>156</v>
      </c>
      <c r="G18" s="38">
        <v>20</v>
      </c>
      <c r="H18" s="38">
        <v>0</v>
      </c>
      <c r="I18" s="39">
        <v>0</v>
      </c>
      <c r="J18" s="38">
        <v>20</v>
      </c>
      <c r="K18" s="38">
        <v>94.56</v>
      </c>
      <c r="L18" s="40">
        <v>1891.2</v>
      </c>
      <c r="M18" s="35" t="s">
        <v>64</v>
      </c>
      <c r="N18" s="35" t="s">
        <v>60</v>
      </c>
      <c r="O18" s="60" t="s">
        <v>154</v>
      </c>
      <c r="P18" s="60"/>
    </row>
    <row r="19" spans="1:16" x14ac:dyDescent="0.2">
      <c r="A19" s="35" t="s">
        <v>59</v>
      </c>
      <c r="B19" s="36">
        <v>45308</v>
      </c>
      <c r="C19" s="35">
        <v>4319948</v>
      </c>
      <c r="D19" s="35" t="s">
        <v>153</v>
      </c>
      <c r="E19" s="35" t="s">
        <v>133</v>
      </c>
      <c r="F19" s="37" t="s">
        <v>134</v>
      </c>
      <c r="G19" s="38">
        <v>100</v>
      </c>
      <c r="H19" s="38">
        <v>99</v>
      </c>
      <c r="I19" s="39">
        <v>0.99</v>
      </c>
      <c r="J19" s="38">
        <v>1</v>
      </c>
      <c r="K19" s="38">
        <v>28.47</v>
      </c>
      <c r="L19" s="40">
        <v>28.47</v>
      </c>
      <c r="M19" s="35" t="s">
        <v>64</v>
      </c>
      <c r="N19" s="35" t="s">
        <v>60</v>
      </c>
      <c r="O19" s="60" t="s">
        <v>154</v>
      </c>
      <c r="P19" s="60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129</v>
      </c>
      <c r="F20" s="37" t="s">
        <v>130</v>
      </c>
      <c r="G20" s="38">
        <v>60</v>
      </c>
      <c r="H20" s="38">
        <v>0</v>
      </c>
      <c r="I20" s="39">
        <v>0</v>
      </c>
      <c r="J20" s="38">
        <v>60</v>
      </c>
      <c r="K20" s="38">
        <v>13.49</v>
      </c>
      <c r="L20" s="40">
        <v>809.4</v>
      </c>
      <c r="M20" s="35" t="s">
        <v>64</v>
      </c>
      <c r="N20" s="35" t="s">
        <v>60</v>
      </c>
      <c r="O20" s="60" t="s">
        <v>92</v>
      </c>
      <c r="P20" s="60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121</v>
      </c>
      <c r="F21" s="37" t="s">
        <v>122</v>
      </c>
      <c r="G21" s="38">
        <v>60</v>
      </c>
      <c r="H21" s="38">
        <v>0</v>
      </c>
      <c r="I21" s="39">
        <v>0</v>
      </c>
      <c r="J21" s="38">
        <v>60</v>
      </c>
      <c r="K21" s="38">
        <v>7.39</v>
      </c>
      <c r="L21" s="40">
        <v>443.4</v>
      </c>
      <c r="M21" s="35" t="s">
        <v>64</v>
      </c>
      <c r="N21" s="35" t="s">
        <v>60</v>
      </c>
      <c r="O21" s="60" t="s">
        <v>92</v>
      </c>
      <c r="P21" s="60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123</v>
      </c>
      <c r="F22" s="37" t="s">
        <v>124</v>
      </c>
      <c r="G22" s="38">
        <v>60</v>
      </c>
      <c r="H22" s="38">
        <v>0</v>
      </c>
      <c r="I22" s="39">
        <v>0</v>
      </c>
      <c r="J22" s="38">
        <v>60</v>
      </c>
      <c r="K22" s="38">
        <v>13.49</v>
      </c>
      <c r="L22" s="40">
        <v>809.4</v>
      </c>
      <c r="M22" s="35" t="s">
        <v>10</v>
      </c>
      <c r="N22" s="35" t="s">
        <v>60</v>
      </c>
      <c r="O22" s="60" t="s">
        <v>92</v>
      </c>
      <c r="P22" s="60"/>
    </row>
    <row r="23" spans="1:16" x14ac:dyDescent="0.2">
      <c r="A23" s="35" t="s">
        <v>59</v>
      </c>
      <c r="B23" s="36">
        <v>45313</v>
      </c>
      <c r="C23" s="35" t="s">
        <v>144</v>
      </c>
      <c r="D23" s="35" t="s">
        <v>145</v>
      </c>
      <c r="E23" s="35" t="s">
        <v>125</v>
      </c>
      <c r="F23" s="37" t="s">
        <v>126</v>
      </c>
      <c r="G23" s="38">
        <v>60</v>
      </c>
      <c r="H23" s="38">
        <v>0</v>
      </c>
      <c r="I23" s="39">
        <v>0</v>
      </c>
      <c r="J23" s="38">
        <v>60</v>
      </c>
      <c r="K23" s="38">
        <v>6.72</v>
      </c>
      <c r="L23" s="40">
        <v>403.2</v>
      </c>
      <c r="M23" s="35" t="s">
        <v>64</v>
      </c>
      <c r="N23" s="35" t="s">
        <v>60</v>
      </c>
      <c r="O23" s="60" t="s">
        <v>92</v>
      </c>
      <c r="P23" s="60"/>
    </row>
    <row r="24" spans="1:16" x14ac:dyDescent="0.2">
      <c r="A24" s="35" t="s">
        <v>59</v>
      </c>
      <c r="B24" s="36">
        <v>45313</v>
      </c>
      <c r="C24" s="35" t="s">
        <v>144</v>
      </c>
      <c r="D24" s="35" t="s">
        <v>145</v>
      </c>
      <c r="E24" s="35" t="s">
        <v>127</v>
      </c>
      <c r="F24" s="37" t="s">
        <v>128</v>
      </c>
      <c r="G24" s="38">
        <v>60</v>
      </c>
      <c r="H24" s="38">
        <v>0</v>
      </c>
      <c r="I24" s="39">
        <v>0</v>
      </c>
      <c r="J24" s="38">
        <v>60</v>
      </c>
      <c r="K24" s="38">
        <v>12.27</v>
      </c>
      <c r="L24" s="40">
        <v>736.19999999999993</v>
      </c>
      <c r="M24" s="35" t="s">
        <v>64</v>
      </c>
      <c r="N24" s="35" t="s">
        <v>60</v>
      </c>
      <c r="O24" s="60" t="s">
        <v>92</v>
      </c>
      <c r="P24" s="60"/>
    </row>
    <row r="25" spans="1:16" x14ac:dyDescent="0.2">
      <c r="A25" s="35" t="s">
        <v>59</v>
      </c>
      <c r="B25" s="36">
        <v>45218</v>
      </c>
      <c r="C25" s="35" t="s">
        <v>73</v>
      </c>
      <c r="D25" s="35" t="s">
        <v>74</v>
      </c>
      <c r="E25" s="35" t="s">
        <v>77</v>
      </c>
      <c r="F25" s="37" t="s">
        <v>78</v>
      </c>
      <c r="G25" s="38">
        <v>720</v>
      </c>
      <c r="H25" s="38">
        <v>550</v>
      </c>
      <c r="I25" s="39">
        <v>0.76388888888888884</v>
      </c>
      <c r="J25" s="38">
        <v>170</v>
      </c>
      <c r="K25" s="38">
        <v>4.62</v>
      </c>
      <c r="L25" s="40">
        <v>785.4</v>
      </c>
      <c r="M25" s="35" t="s">
        <v>64</v>
      </c>
      <c r="N25" s="35" t="s">
        <v>66</v>
      </c>
      <c r="O25" s="60">
        <v>45343</v>
      </c>
      <c r="P25" s="60"/>
    </row>
    <row r="26" spans="1:16" x14ac:dyDescent="0.2">
      <c r="A26" s="35" t="s">
        <v>59</v>
      </c>
      <c r="B26" s="36">
        <v>45267</v>
      </c>
      <c r="C26" s="35" t="s">
        <v>111</v>
      </c>
      <c r="D26" s="35" t="s">
        <v>112</v>
      </c>
      <c r="E26" s="35" t="s">
        <v>77</v>
      </c>
      <c r="F26" s="37" t="s">
        <v>78</v>
      </c>
      <c r="G26" s="38">
        <v>360</v>
      </c>
      <c r="H26" s="38">
        <v>0</v>
      </c>
      <c r="I26" s="39">
        <v>0</v>
      </c>
      <c r="J26" s="38">
        <v>360</v>
      </c>
      <c r="K26" s="38">
        <v>4.62</v>
      </c>
      <c r="L26" s="40">
        <v>1663.2</v>
      </c>
      <c r="M26" s="35" t="s">
        <v>64</v>
      </c>
      <c r="N26" s="35" t="s">
        <v>66</v>
      </c>
      <c r="O26" s="60">
        <v>45343</v>
      </c>
      <c r="P26" s="60"/>
    </row>
    <row r="27" spans="1:16" x14ac:dyDescent="0.2">
      <c r="A27" s="35" t="s">
        <v>59</v>
      </c>
      <c r="B27" s="36">
        <v>45217</v>
      </c>
      <c r="C27" s="35">
        <v>4319698</v>
      </c>
      <c r="D27" s="35" t="s">
        <v>148</v>
      </c>
      <c r="E27" s="35" t="s">
        <v>157</v>
      </c>
      <c r="F27" s="37" t="s">
        <v>158</v>
      </c>
      <c r="G27" s="38">
        <v>1500</v>
      </c>
      <c r="H27" s="38">
        <v>750</v>
      </c>
      <c r="I27" s="39">
        <v>0.5</v>
      </c>
      <c r="J27" s="38">
        <v>750</v>
      </c>
      <c r="K27" s="38">
        <v>3.25</v>
      </c>
      <c r="L27" s="40">
        <v>2437.5</v>
      </c>
      <c r="M27" s="35" t="s">
        <v>64</v>
      </c>
      <c r="N27" s="35" t="s">
        <v>65</v>
      </c>
      <c r="O27" s="60">
        <v>45349</v>
      </c>
      <c r="P27" s="60"/>
    </row>
    <row r="28" spans="1:16" x14ac:dyDescent="0.2">
      <c r="A28" s="35" t="s">
        <v>59</v>
      </c>
      <c r="B28" s="36">
        <v>45224</v>
      </c>
      <c r="C28" s="35" t="s">
        <v>69</v>
      </c>
      <c r="D28" s="35" t="s">
        <v>70</v>
      </c>
      <c r="E28" s="35" t="s">
        <v>71</v>
      </c>
      <c r="F28" s="37" t="s">
        <v>72</v>
      </c>
      <c r="G28" s="38">
        <v>50</v>
      </c>
      <c r="H28" s="38">
        <v>9</v>
      </c>
      <c r="I28" s="39">
        <v>0.18</v>
      </c>
      <c r="J28" s="38">
        <v>41</v>
      </c>
      <c r="K28" s="38">
        <v>25.57</v>
      </c>
      <c r="L28" s="40">
        <v>1048.3700000000001</v>
      </c>
      <c r="M28" s="35" t="s">
        <v>10</v>
      </c>
      <c r="N28" s="35" t="s">
        <v>58</v>
      </c>
      <c r="O28" s="60">
        <v>45374</v>
      </c>
      <c r="P28" s="60"/>
    </row>
    <row r="29" spans="1:16" x14ac:dyDescent="0.2">
      <c r="A29" s="35" t="s">
        <v>59</v>
      </c>
      <c r="B29" s="36">
        <v>45224</v>
      </c>
      <c r="C29" s="35" t="s">
        <v>69</v>
      </c>
      <c r="D29" s="35" t="s">
        <v>70</v>
      </c>
      <c r="E29" s="35" t="s">
        <v>94</v>
      </c>
      <c r="F29" s="37" t="s">
        <v>95</v>
      </c>
      <c r="G29" s="38">
        <v>14</v>
      </c>
      <c r="H29" s="38">
        <v>7</v>
      </c>
      <c r="I29" s="39">
        <v>0.5</v>
      </c>
      <c r="J29" s="38">
        <v>7</v>
      </c>
      <c r="K29" s="38">
        <v>25.57</v>
      </c>
      <c r="L29" s="40">
        <v>178.99</v>
      </c>
      <c r="M29" s="35" t="s">
        <v>10</v>
      </c>
      <c r="N29" s="35" t="s">
        <v>58</v>
      </c>
      <c r="O29" s="60">
        <v>45374</v>
      </c>
      <c r="P29" s="37"/>
    </row>
    <row r="30" spans="1:16" x14ac:dyDescent="0.2">
      <c r="A30" s="35" t="s">
        <v>59</v>
      </c>
      <c r="B30" s="36">
        <v>45224</v>
      </c>
      <c r="C30" s="35" t="s">
        <v>69</v>
      </c>
      <c r="D30" s="35" t="s">
        <v>70</v>
      </c>
      <c r="E30" s="35" t="s">
        <v>96</v>
      </c>
      <c r="F30" s="37" t="s">
        <v>97</v>
      </c>
      <c r="G30" s="38">
        <v>20</v>
      </c>
      <c r="H30" s="38">
        <v>15</v>
      </c>
      <c r="I30" s="39">
        <v>0.75</v>
      </c>
      <c r="J30" s="38">
        <v>5</v>
      </c>
      <c r="K30" s="38">
        <v>35.86</v>
      </c>
      <c r="L30" s="40">
        <v>179.3</v>
      </c>
      <c r="M30" s="35" t="s">
        <v>10</v>
      </c>
      <c r="N30" s="35" t="s">
        <v>58</v>
      </c>
      <c r="O30" s="60">
        <v>45374</v>
      </c>
      <c r="P30" s="37"/>
    </row>
    <row r="31" spans="1:16" x14ac:dyDescent="0.2">
      <c r="A31" s="35" t="s">
        <v>59</v>
      </c>
      <c r="B31" s="36">
        <v>45314</v>
      </c>
      <c r="C31" s="35" t="s">
        <v>159</v>
      </c>
      <c r="D31" s="35" t="s">
        <v>160</v>
      </c>
      <c r="E31" s="35" t="s">
        <v>161</v>
      </c>
      <c r="F31" s="37" t="s">
        <v>162</v>
      </c>
      <c r="G31" s="38">
        <v>20</v>
      </c>
      <c r="H31" s="38">
        <v>0</v>
      </c>
      <c r="I31" s="39">
        <v>0</v>
      </c>
      <c r="J31" s="38">
        <v>20</v>
      </c>
      <c r="K31" s="38">
        <v>31.33</v>
      </c>
      <c r="L31" s="40">
        <v>626.59999999999991</v>
      </c>
      <c r="M31" s="35" t="s">
        <v>10</v>
      </c>
      <c r="N31" s="35" t="s">
        <v>58</v>
      </c>
      <c r="O31" s="60">
        <v>45374</v>
      </c>
      <c r="P31" s="37"/>
    </row>
    <row r="32" spans="1:16" x14ac:dyDescent="0.2">
      <c r="A32" s="35" t="s">
        <v>59</v>
      </c>
      <c r="B32" s="36">
        <v>45314</v>
      </c>
      <c r="C32" s="35" t="s">
        <v>159</v>
      </c>
      <c r="D32" s="35" t="s">
        <v>160</v>
      </c>
      <c r="E32" s="35" t="s">
        <v>94</v>
      </c>
      <c r="F32" s="37" t="s">
        <v>95</v>
      </c>
      <c r="G32" s="38">
        <v>20</v>
      </c>
      <c r="H32" s="38">
        <v>0</v>
      </c>
      <c r="I32" s="39">
        <v>0</v>
      </c>
      <c r="J32" s="38">
        <v>20</v>
      </c>
      <c r="K32" s="38">
        <v>27.23</v>
      </c>
      <c r="L32" s="40">
        <v>544.6</v>
      </c>
      <c r="M32" s="35" t="s">
        <v>10</v>
      </c>
      <c r="N32" s="35" t="s">
        <v>58</v>
      </c>
      <c r="O32" s="60">
        <v>45374</v>
      </c>
      <c r="P32" s="37"/>
    </row>
    <row r="33" spans="1:16" x14ac:dyDescent="0.2">
      <c r="A33" s="35" t="s">
        <v>59</v>
      </c>
      <c r="B33" s="36">
        <v>45314</v>
      </c>
      <c r="C33" s="35" t="s">
        <v>159</v>
      </c>
      <c r="D33" s="35" t="s">
        <v>160</v>
      </c>
      <c r="E33" s="35" t="s">
        <v>163</v>
      </c>
      <c r="F33" s="37" t="s">
        <v>164</v>
      </c>
      <c r="G33" s="38">
        <v>20</v>
      </c>
      <c r="H33" s="38">
        <v>0</v>
      </c>
      <c r="I33" s="39">
        <v>0</v>
      </c>
      <c r="J33" s="38">
        <v>20</v>
      </c>
      <c r="K33" s="38">
        <v>29.42</v>
      </c>
      <c r="L33" s="40">
        <v>588.40000000000009</v>
      </c>
      <c r="M33" s="35" t="s">
        <v>10</v>
      </c>
      <c r="N33" s="35" t="s">
        <v>58</v>
      </c>
      <c r="O33" s="60">
        <v>45374</v>
      </c>
      <c r="P33" s="37"/>
    </row>
    <row r="34" spans="1:16" x14ac:dyDescent="0.2">
      <c r="A34" s="35" t="s">
        <v>59</v>
      </c>
      <c r="B34" s="36">
        <v>45314</v>
      </c>
      <c r="C34" s="35" t="s">
        <v>159</v>
      </c>
      <c r="D34" s="35" t="s">
        <v>160</v>
      </c>
      <c r="E34" s="35" t="s">
        <v>165</v>
      </c>
      <c r="F34" s="37" t="s">
        <v>166</v>
      </c>
      <c r="G34" s="38">
        <v>20</v>
      </c>
      <c r="H34" s="38">
        <v>0</v>
      </c>
      <c r="I34" s="39">
        <v>0</v>
      </c>
      <c r="J34" s="38">
        <v>20</v>
      </c>
      <c r="K34" s="38">
        <v>38.19</v>
      </c>
      <c r="L34" s="40">
        <v>763.8</v>
      </c>
      <c r="M34" s="35" t="s">
        <v>10</v>
      </c>
      <c r="N34" s="35" t="s">
        <v>58</v>
      </c>
      <c r="O34" s="60">
        <v>45374</v>
      </c>
      <c r="P34" s="37"/>
    </row>
    <row r="35" spans="1:16" x14ac:dyDescent="0.2">
      <c r="A35" s="35" t="s">
        <v>59</v>
      </c>
      <c r="B35" s="36">
        <v>45314</v>
      </c>
      <c r="C35" s="35" t="s">
        <v>159</v>
      </c>
      <c r="D35" s="35" t="s">
        <v>160</v>
      </c>
      <c r="E35" s="35" t="s">
        <v>167</v>
      </c>
      <c r="F35" s="37" t="s">
        <v>168</v>
      </c>
      <c r="G35" s="38">
        <v>20</v>
      </c>
      <c r="H35" s="38">
        <v>0</v>
      </c>
      <c r="I35" s="39">
        <v>0</v>
      </c>
      <c r="J35" s="38">
        <v>20</v>
      </c>
      <c r="K35" s="38">
        <v>29.42</v>
      </c>
      <c r="L35" s="40">
        <v>588.40000000000009</v>
      </c>
      <c r="M35" s="35" t="s">
        <v>10</v>
      </c>
      <c r="N35" s="35" t="s">
        <v>58</v>
      </c>
      <c r="O35" s="41">
        <v>45374</v>
      </c>
      <c r="P35" s="37"/>
    </row>
    <row r="36" spans="1:16" x14ac:dyDescent="0.2">
      <c r="A36" s="35" t="s">
        <v>59</v>
      </c>
      <c r="B36" s="36">
        <v>45314</v>
      </c>
      <c r="C36" s="35" t="s">
        <v>159</v>
      </c>
      <c r="D36" s="35" t="s">
        <v>160</v>
      </c>
      <c r="E36" s="35" t="s">
        <v>169</v>
      </c>
      <c r="F36" s="37" t="s">
        <v>170</v>
      </c>
      <c r="G36" s="38">
        <v>20</v>
      </c>
      <c r="H36" s="38">
        <v>2</v>
      </c>
      <c r="I36" s="39">
        <v>0.1</v>
      </c>
      <c r="J36" s="38">
        <v>18</v>
      </c>
      <c r="K36" s="38">
        <v>31.33</v>
      </c>
      <c r="L36" s="40">
        <v>563.93999999999994</v>
      </c>
      <c r="M36" s="35" t="s">
        <v>10</v>
      </c>
      <c r="N36" s="35" t="s">
        <v>58</v>
      </c>
      <c r="O36" s="41">
        <v>45374</v>
      </c>
      <c r="P36" s="37"/>
    </row>
    <row r="37" spans="1:16" x14ac:dyDescent="0.2">
      <c r="A37" s="35" t="s">
        <v>59</v>
      </c>
      <c r="B37" s="36">
        <v>45152</v>
      </c>
      <c r="C37" s="35" t="s">
        <v>171</v>
      </c>
      <c r="D37" s="35" t="s">
        <v>172</v>
      </c>
      <c r="E37" s="35" t="s">
        <v>135</v>
      </c>
      <c r="F37" s="37" t="s">
        <v>136</v>
      </c>
      <c r="G37" s="38">
        <v>60</v>
      </c>
      <c r="H37" s="38">
        <v>0</v>
      </c>
      <c r="I37" s="39">
        <v>0</v>
      </c>
      <c r="J37" s="38">
        <v>60</v>
      </c>
      <c r="K37" s="38">
        <v>41.01</v>
      </c>
      <c r="L37" s="40">
        <v>2460.6</v>
      </c>
      <c r="M37" s="35" t="s">
        <v>64</v>
      </c>
      <c r="N37" s="35" t="s">
        <v>60</v>
      </c>
      <c r="O37" s="41">
        <v>45408</v>
      </c>
      <c r="P37" s="37"/>
    </row>
    <row r="38" spans="1:16" x14ac:dyDescent="0.2">
      <c r="A38" s="35" t="s">
        <v>59</v>
      </c>
      <c r="B38" s="36">
        <v>45173</v>
      </c>
      <c r="C38" s="35" t="s">
        <v>173</v>
      </c>
      <c r="D38" s="35" t="s">
        <v>174</v>
      </c>
      <c r="E38" s="35" t="s">
        <v>135</v>
      </c>
      <c r="F38" s="37" t="s">
        <v>136</v>
      </c>
      <c r="G38" s="38">
        <v>100</v>
      </c>
      <c r="H38" s="38">
        <v>0</v>
      </c>
      <c r="I38" s="39">
        <v>0</v>
      </c>
      <c r="J38" s="38">
        <v>100</v>
      </c>
      <c r="K38" s="38">
        <v>41.01</v>
      </c>
      <c r="L38" s="40">
        <v>4101</v>
      </c>
      <c r="M38" s="35" t="s">
        <v>64</v>
      </c>
      <c r="N38" s="35" t="s">
        <v>60</v>
      </c>
      <c r="O38" s="41">
        <v>45408</v>
      </c>
      <c r="P38" s="37"/>
    </row>
    <row r="39" spans="1:16" x14ac:dyDescent="0.2">
      <c r="A39" s="35" t="s">
        <v>59</v>
      </c>
      <c r="B39" s="36">
        <v>45173</v>
      </c>
      <c r="C39" s="35" t="s">
        <v>173</v>
      </c>
      <c r="D39" s="35" t="s">
        <v>174</v>
      </c>
      <c r="E39" s="35" t="s">
        <v>137</v>
      </c>
      <c r="F39" s="37" t="s">
        <v>138</v>
      </c>
      <c r="G39" s="38">
        <v>100</v>
      </c>
      <c r="H39" s="38">
        <v>0</v>
      </c>
      <c r="I39" s="39">
        <v>0</v>
      </c>
      <c r="J39" s="38">
        <v>100</v>
      </c>
      <c r="K39" s="38">
        <v>41.58</v>
      </c>
      <c r="L39" s="40">
        <v>4158</v>
      </c>
      <c r="M39" s="35" t="s">
        <v>10</v>
      </c>
      <c r="N39" s="35" t="s">
        <v>60</v>
      </c>
      <c r="O39" s="41">
        <v>45408</v>
      </c>
      <c r="P39" s="37"/>
    </row>
    <row r="40" spans="1:16" x14ac:dyDescent="0.2">
      <c r="A40" s="35" t="s">
        <v>59</v>
      </c>
      <c r="B40" s="36">
        <v>45218</v>
      </c>
      <c r="C40" s="35" t="s">
        <v>73</v>
      </c>
      <c r="D40" s="35" t="s">
        <v>74</v>
      </c>
      <c r="E40" s="35" t="s">
        <v>75</v>
      </c>
      <c r="F40" s="37" t="s">
        <v>76</v>
      </c>
      <c r="G40" s="38">
        <v>720</v>
      </c>
      <c r="H40" s="38">
        <v>600</v>
      </c>
      <c r="I40" s="39">
        <v>0.83333333333333337</v>
      </c>
      <c r="J40" s="38">
        <v>120</v>
      </c>
      <c r="K40" s="38">
        <v>4.62</v>
      </c>
      <c r="L40" s="40">
        <v>554.4</v>
      </c>
      <c r="M40" s="35" t="s">
        <v>64</v>
      </c>
      <c r="N40" s="35" t="s">
        <v>66</v>
      </c>
      <c r="O40" s="41">
        <v>45343</v>
      </c>
      <c r="P40" s="37"/>
    </row>
    <row r="41" spans="1:16" x14ac:dyDescent="0.2">
      <c r="A41" s="35" t="s">
        <v>59</v>
      </c>
      <c r="B41" s="36">
        <v>45266</v>
      </c>
      <c r="C41" s="35" t="s">
        <v>107</v>
      </c>
      <c r="D41" s="35" t="s">
        <v>108</v>
      </c>
      <c r="E41" s="35" t="s">
        <v>135</v>
      </c>
      <c r="F41" s="37" t="s">
        <v>136</v>
      </c>
      <c r="G41" s="38">
        <v>30</v>
      </c>
      <c r="H41" s="38">
        <v>0</v>
      </c>
      <c r="I41" s="39">
        <v>0</v>
      </c>
      <c r="J41" s="38">
        <v>30</v>
      </c>
      <c r="K41" s="38">
        <v>41.01</v>
      </c>
      <c r="L41" s="40">
        <v>1230.3</v>
      </c>
      <c r="M41" s="35" t="s">
        <v>64</v>
      </c>
      <c r="N41" s="35" t="s">
        <v>60</v>
      </c>
      <c r="O41" s="41">
        <v>45408</v>
      </c>
      <c r="P41" s="37"/>
    </row>
    <row r="42" spans="1:16" x14ac:dyDescent="0.2">
      <c r="A42" s="35" t="s">
        <v>59</v>
      </c>
      <c r="B42" s="36">
        <v>45266</v>
      </c>
      <c r="C42" s="35" t="s">
        <v>107</v>
      </c>
      <c r="D42" s="35" t="s">
        <v>108</v>
      </c>
      <c r="E42" s="35" t="s">
        <v>137</v>
      </c>
      <c r="F42" s="37" t="s">
        <v>138</v>
      </c>
      <c r="G42" s="38">
        <v>30</v>
      </c>
      <c r="H42" s="38">
        <v>0</v>
      </c>
      <c r="I42" s="39">
        <v>0</v>
      </c>
      <c r="J42" s="38">
        <v>30</v>
      </c>
      <c r="K42" s="38">
        <v>41.58</v>
      </c>
      <c r="L42" s="40">
        <v>1247.3999999999999</v>
      </c>
      <c r="M42" s="35" t="s">
        <v>10</v>
      </c>
      <c r="N42" s="35" t="s">
        <v>60</v>
      </c>
      <c r="O42" s="41">
        <v>45408</v>
      </c>
      <c r="P42" s="37"/>
    </row>
    <row r="43" spans="1:16" x14ac:dyDescent="0.2">
      <c r="A43" s="35" t="s">
        <v>59</v>
      </c>
      <c r="B43" s="36">
        <v>45267</v>
      </c>
      <c r="C43" s="35" t="s">
        <v>111</v>
      </c>
      <c r="D43" s="35" t="s">
        <v>112</v>
      </c>
      <c r="E43" s="35" t="s">
        <v>75</v>
      </c>
      <c r="F43" s="37" t="s">
        <v>76</v>
      </c>
      <c r="G43" s="38">
        <v>360</v>
      </c>
      <c r="H43" s="38">
        <v>0</v>
      </c>
      <c r="I43" s="39">
        <v>0</v>
      </c>
      <c r="J43" s="38">
        <v>360</v>
      </c>
      <c r="K43" s="38">
        <v>4.62</v>
      </c>
      <c r="L43" s="40">
        <v>1663.2</v>
      </c>
      <c r="M43" s="35" t="s">
        <v>64</v>
      </c>
      <c r="N43" s="35" t="s">
        <v>66</v>
      </c>
      <c r="O43" s="41">
        <v>45350</v>
      </c>
      <c r="P43" s="37"/>
    </row>
    <row r="44" spans="1:16" x14ac:dyDescent="0.2">
      <c r="A44" s="35" t="s">
        <v>59</v>
      </c>
      <c r="B44" s="36">
        <v>45278</v>
      </c>
      <c r="C44" s="35" t="s">
        <v>105</v>
      </c>
      <c r="D44" s="35" t="s">
        <v>106</v>
      </c>
      <c r="E44" s="35" t="s">
        <v>135</v>
      </c>
      <c r="F44" s="37" t="s">
        <v>136</v>
      </c>
      <c r="G44" s="38">
        <v>30</v>
      </c>
      <c r="H44" s="38">
        <v>0</v>
      </c>
      <c r="I44" s="39">
        <v>0</v>
      </c>
      <c r="J44" s="38">
        <v>30</v>
      </c>
      <c r="K44" s="38">
        <v>41.01</v>
      </c>
      <c r="L44" s="40">
        <v>1230.3</v>
      </c>
      <c r="M44" s="35" t="s">
        <v>64</v>
      </c>
      <c r="N44" s="35" t="s">
        <v>60</v>
      </c>
      <c r="O44" s="41">
        <v>45408</v>
      </c>
      <c r="P44" s="37"/>
    </row>
    <row r="45" spans="1:16" x14ac:dyDescent="0.2">
      <c r="A45" s="35" t="s">
        <v>59</v>
      </c>
      <c r="B45" s="36">
        <v>45278</v>
      </c>
      <c r="C45" s="35" t="s">
        <v>105</v>
      </c>
      <c r="D45" s="35" t="s">
        <v>106</v>
      </c>
      <c r="E45" s="35" t="s">
        <v>137</v>
      </c>
      <c r="F45" s="37" t="s">
        <v>138</v>
      </c>
      <c r="G45" s="38">
        <v>30</v>
      </c>
      <c r="H45" s="38">
        <v>0</v>
      </c>
      <c r="I45" s="39">
        <v>0</v>
      </c>
      <c r="J45" s="38">
        <v>30</v>
      </c>
      <c r="K45" s="38">
        <v>41.58</v>
      </c>
      <c r="L45" s="40">
        <v>1247.3999999999999</v>
      </c>
      <c r="M45" s="35" t="s">
        <v>10</v>
      </c>
      <c r="N45" s="35" t="s">
        <v>60</v>
      </c>
      <c r="O45" s="41">
        <v>45408</v>
      </c>
      <c r="P45" s="37"/>
    </row>
    <row r="46" spans="1:16" x14ac:dyDescent="0.2">
      <c r="A46" s="35" t="s">
        <v>59</v>
      </c>
      <c r="B46" s="36">
        <v>45314</v>
      </c>
      <c r="C46" s="35" t="s">
        <v>159</v>
      </c>
      <c r="D46" s="35" t="s">
        <v>160</v>
      </c>
      <c r="E46" s="35" t="s">
        <v>175</v>
      </c>
      <c r="F46" s="37" t="s">
        <v>176</v>
      </c>
      <c r="G46" s="38">
        <v>20</v>
      </c>
      <c r="H46" s="38">
        <v>9</v>
      </c>
      <c r="I46" s="39">
        <v>0.45</v>
      </c>
      <c r="J46" s="38">
        <v>11</v>
      </c>
      <c r="K46" s="38">
        <v>31.33</v>
      </c>
      <c r="L46" s="40">
        <v>344.63</v>
      </c>
      <c r="M46" s="35" t="s">
        <v>10</v>
      </c>
      <c r="N46" s="35" t="s">
        <v>58</v>
      </c>
      <c r="O46" s="41">
        <v>45374</v>
      </c>
      <c r="P46" s="37"/>
    </row>
    <row r="47" spans="1:16" x14ac:dyDescent="0.2">
      <c r="A47" s="35"/>
      <c r="B47" s="36"/>
      <c r="C47" s="35"/>
      <c r="D47" s="35"/>
      <c r="E47" s="35"/>
      <c r="F47" s="37"/>
      <c r="G47" s="38"/>
      <c r="H47" s="38"/>
      <c r="I47" s="39"/>
      <c r="J47" s="38"/>
      <c r="K47" s="38"/>
      <c r="L47" s="40"/>
      <c r="M47" s="35"/>
      <c r="N47" s="35"/>
      <c r="O47" s="41"/>
      <c r="P47" s="37"/>
    </row>
    <row r="48" spans="1:16" x14ac:dyDescent="0.2">
      <c r="A48" s="35"/>
      <c r="B48" s="36"/>
      <c r="C48" s="35"/>
      <c r="D48" s="35"/>
      <c r="E48" s="35"/>
      <c r="F48" s="37"/>
      <c r="G48" s="38"/>
      <c r="H48" s="38"/>
      <c r="I48" s="39"/>
      <c r="J48" s="38"/>
      <c r="K48" s="38"/>
      <c r="L48" s="40"/>
      <c r="M48" s="35"/>
      <c r="N48" s="35"/>
      <c r="O48" s="41"/>
      <c r="P48" s="37"/>
    </row>
    <row r="49" spans="1:16" x14ac:dyDescent="0.2">
      <c r="A49" s="35"/>
      <c r="B49" s="36"/>
      <c r="C49" s="35"/>
      <c r="D49" s="35"/>
      <c r="E49" s="35"/>
      <c r="F49" s="37"/>
      <c r="G49" s="38"/>
      <c r="H49" s="38"/>
      <c r="I49" s="39"/>
      <c r="J49" s="38"/>
      <c r="K49" s="38"/>
      <c r="L49" s="40"/>
      <c r="M49" s="35"/>
      <c r="N49" s="35"/>
      <c r="O49" s="41"/>
      <c r="P49" s="37"/>
    </row>
    <row r="50" spans="1:16" x14ac:dyDescent="0.2">
      <c r="A50" s="35"/>
      <c r="B50" s="36"/>
      <c r="C50" s="35"/>
      <c r="D50" s="35"/>
      <c r="E50" s="35"/>
      <c r="F50" s="37"/>
      <c r="G50" s="38"/>
      <c r="H50" s="38"/>
      <c r="I50" s="39"/>
      <c r="J50" s="38"/>
      <c r="K50" s="38"/>
      <c r="L50" s="40"/>
      <c r="M50" s="35"/>
      <c r="N50" s="35"/>
      <c r="O50" s="41"/>
      <c r="P50" s="37"/>
    </row>
    <row r="51" spans="1:16" x14ac:dyDescent="0.2">
      <c r="A51" s="35"/>
      <c r="B51" s="36"/>
      <c r="C51" s="35"/>
      <c r="D51" s="35"/>
      <c r="E51" s="35"/>
      <c r="F51" s="37"/>
      <c r="G51" s="38"/>
      <c r="H51" s="38"/>
      <c r="I51" s="39"/>
      <c r="J51" s="38"/>
      <c r="K51" s="38"/>
      <c r="L51" s="40"/>
      <c r="M51" s="35"/>
      <c r="N51" s="35"/>
      <c r="O51" s="41"/>
      <c r="P51" s="37"/>
    </row>
    <row r="52" spans="1:16" x14ac:dyDescent="0.2">
      <c r="A52" s="35"/>
      <c r="B52" s="36"/>
      <c r="C52" s="35"/>
      <c r="D52" s="35"/>
      <c r="E52" s="35"/>
      <c r="F52" s="37"/>
      <c r="G52" s="38"/>
      <c r="H52" s="38"/>
      <c r="I52" s="39"/>
      <c r="J52" s="38"/>
      <c r="K52" s="38"/>
      <c r="L52" s="40"/>
      <c r="M52" s="35"/>
      <c r="N52" s="35"/>
      <c r="O52" s="36"/>
      <c r="P52" s="37"/>
    </row>
    <row r="53" spans="1:16" x14ac:dyDescent="0.2">
      <c r="A53" s="35"/>
      <c r="B53" s="36"/>
      <c r="C53" s="35"/>
      <c r="D53" s="35"/>
      <c r="E53" s="35"/>
      <c r="F53" s="37"/>
      <c r="G53" s="38"/>
      <c r="H53" s="38"/>
      <c r="I53" s="39"/>
      <c r="J53" s="38"/>
      <c r="K53" s="38"/>
      <c r="L53" s="40"/>
      <c r="M53" s="35"/>
      <c r="N53" s="35"/>
      <c r="O53" s="36"/>
      <c r="P53" s="37"/>
    </row>
    <row r="54" spans="1:16" x14ac:dyDescent="0.2">
      <c r="A54" s="35"/>
      <c r="B54" s="36"/>
      <c r="C54" s="35"/>
      <c r="D54" s="35"/>
      <c r="E54" s="35"/>
      <c r="F54" s="37"/>
      <c r="G54" s="38"/>
      <c r="H54" s="38"/>
      <c r="I54" s="39"/>
      <c r="J54" s="38"/>
      <c r="K54" s="38"/>
      <c r="L54" s="40"/>
      <c r="M54" s="35"/>
      <c r="N54" s="35"/>
      <c r="O54" s="41"/>
      <c r="P54" s="37"/>
    </row>
    <row r="55" spans="1:16" x14ac:dyDescent="0.2">
      <c r="A55" s="35"/>
      <c r="B55" s="36"/>
      <c r="C55" s="35"/>
      <c r="D55" s="35"/>
      <c r="E55" s="35"/>
      <c r="F55" s="37"/>
      <c r="G55" s="38"/>
      <c r="H55" s="38"/>
      <c r="I55" s="39"/>
      <c r="J55" s="38"/>
      <c r="K55" s="38"/>
      <c r="L55" s="40"/>
      <c r="M55" s="35"/>
      <c r="N55" s="35"/>
      <c r="O55" s="41"/>
      <c r="P55" s="37"/>
    </row>
    <row r="56" spans="1:16" x14ac:dyDescent="0.2">
      <c r="A56" s="35"/>
      <c r="B56" s="36"/>
      <c r="C56" s="35"/>
      <c r="D56" s="35"/>
      <c r="E56" s="35"/>
      <c r="F56" s="37"/>
      <c r="G56" s="38"/>
      <c r="H56" s="38"/>
      <c r="I56" s="39"/>
      <c r="J56" s="38"/>
      <c r="K56" s="38"/>
      <c r="L56" s="40"/>
      <c r="M56" s="35"/>
      <c r="N56" s="35"/>
      <c r="O56" s="41"/>
      <c r="P56" s="37"/>
    </row>
    <row r="57" spans="1:16" x14ac:dyDescent="0.2">
      <c r="A57" s="35"/>
      <c r="B57" s="36"/>
      <c r="C57" s="35"/>
      <c r="D57" s="35"/>
      <c r="E57" s="35"/>
      <c r="F57" s="37"/>
      <c r="G57" s="38"/>
      <c r="H57" s="38"/>
      <c r="I57" s="39"/>
      <c r="J57" s="38"/>
      <c r="K57" s="38"/>
      <c r="L57" s="40"/>
      <c r="M57" s="35"/>
      <c r="N57" s="35"/>
      <c r="O57" s="41"/>
      <c r="P57" s="37"/>
    </row>
    <row r="58" spans="1:16" x14ac:dyDescent="0.2">
      <c r="A58" s="35"/>
      <c r="B58" s="36"/>
      <c r="C58" s="35"/>
      <c r="D58" s="35"/>
      <c r="E58" s="35"/>
      <c r="F58" s="37"/>
      <c r="G58" s="38"/>
      <c r="H58" s="38"/>
      <c r="I58" s="39"/>
      <c r="J58" s="38"/>
      <c r="K58" s="38"/>
      <c r="L58" s="40"/>
      <c r="M58" s="35"/>
      <c r="N58" s="35"/>
      <c r="O58" s="41"/>
      <c r="P58" s="37"/>
    </row>
    <row r="59" spans="1:16" x14ac:dyDescent="0.2">
      <c r="A59" s="35"/>
      <c r="B59" s="36"/>
      <c r="C59" s="35"/>
      <c r="D59" s="35"/>
      <c r="E59" s="35"/>
      <c r="F59" s="37"/>
      <c r="G59" s="38"/>
      <c r="H59" s="38"/>
      <c r="I59" s="39"/>
      <c r="J59" s="38"/>
      <c r="K59" s="38"/>
      <c r="L59" s="40"/>
      <c r="M59" s="35"/>
      <c r="N59" s="35"/>
      <c r="O59" s="41"/>
      <c r="P59" s="37"/>
    </row>
    <row r="60" spans="1:16" x14ac:dyDescent="0.2">
      <c r="A60" s="35"/>
      <c r="B60" s="36"/>
      <c r="C60" s="35"/>
      <c r="D60" s="35"/>
      <c r="E60" s="35"/>
      <c r="F60" s="37"/>
      <c r="G60" s="38"/>
      <c r="H60" s="38"/>
      <c r="I60" s="39"/>
      <c r="J60" s="38"/>
      <c r="K60" s="38"/>
      <c r="L60" s="40"/>
      <c r="M60" s="35"/>
      <c r="N60" s="35"/>
      <c r="O60" s="41"/>
      <c r="P60" s="37"/>
    </row>
    <row r="61" spans="1:16" x14ac:dyDescent="0.2">
      <c r="A61" s="35"/>
      <c r="B61" s="36"/>
      <c r="C61" s="35"/>
      <c r="D61" s="35"/>
      <c r="E61" s="35"/>
      <c r="F61" s="37"/>
      <c r="G61" s="38"/>
      <c r="H61" s="38"/>
      <c r="I61" s="39"/>
      <c r="J61" s="38"/>
      <c r="K61" s="38"/>
      <c r="L61" s="40"/>
      <c r="M61" s="35"/>
      <c r="N61" s="35"/>
      <c r="O61" s="41"/>
      <c r="P61" s="37"/>
    </row>
    <row r="62" spans="1:16" x14ac:dyDescent="0.2">
      <c r="A62" s="35"/>
      <c r="B62" s="36"/>
      <c r="C62" s="35"/>
      <c r="D62" s="35"/>
      <c r="E62" s="35"/>
      <c r="F62" s="37"/>
      <c r="G62" s="38"/>
      <c r="H62" s="38"/>
      <c r="I62" s="39"/>
      <c r="J62" s="38"/>
      <c r="K62" s="38"/>
      <c r="L62" s="40"/>
      <c r="M62" s="35"/>
      <c r="N62" s="35"/>
      <c r="O62" s="41"/>
      <c r="P62" s="37"/>
    </row>
    <row r="63" spans="1:16" x14ac:dyDescent="0.2">
      <c r="A63" s="35"/>
      <c r="B63" s="36"/>
      <c r="C63" s="35"/>
      <c r="D63" s="35"/>
      <c r="E63" s="35"/>
      <c r="F63" s="37"/>
      <c r="G63" s="38"/>
      <c r="H63" s="38"/>
      <c r="I63" s="39"/>
      <c r="J63" s="38"/>
      <c r="K63" s="38"/>
      <c r="L63" s="40"/>
      <c r="M63" s="35"/>
      <c r="N63" s="35"/>
      <c r="O63" s="41"/>
      <c r="P63" s="37"/>
    </row>
    <row r="64" spans="1:16" x14ac:dyDescent="0.2">
      <c r="A64" s="35"/>
      <c r="B64" s="36"/>
      <c r="C64" s="35"/>
      <c r="D64" s="35"/>
      <c r="E64" s="35"/>
      <c r="F64" s="37"/>
      <c r="G64" s="38"/>
      <c r="H64" s="38"/>
      <c r="I64" s="39"/>
      <c r="J64" s="38"/>
      <c r="K64" s="38"/>
      <c r="L64" s="40"/>
      <c r="M64" s="35"/>
      <c r="N64" s="35"/>
      <c r="O64" s="41"/>
      <c r="P64" s="37"/>
    </row>
    <row r="65" spans="1:16" x14ac:dyDescent="0.2">
      <c r="A65" s="35"/>
      <c r="B65" s="36"/>
      <c r="C65" s="35"/>
      <c r="D65" s="35"/>
      <c r="E65" s="35"/>
      <c r="F65" s="37"/>
      <c r="G65" s="38"/>
      <c r="H65" s="38"/>
      <c r="I65" s="39"/>
      <c r="J65" s="38"/>
      <c r="K65" s="38"/>
      <c r="L65" s="40"/>
      <c r="M65" s="35"/>
      <c r="N65" s="35"/>
      <c r="O65" s="41"/>
      <c r="P65" s="37"/>
    </row>
    <row r="66" spans="1:16" x14ac:dyDescent="0.2">
      <c r="A66" s="35"/>
      <c r="B66" s="36"/>
      <c r="C66" s="35"/>
      <c r="D66" s="35"/>
      <c r="E66" s="35"/>
      <c r="F66" s="37"/>
      <c r="G66" s="38"/>
      <c r="H66" s="38"/>
      <c r="I66" s="39"/>
      <c r="J66" s="38"/>
      <c r="K66" s="38"/>
      <c r="L66" s="40"/>
      <c r="M66" s="35"/>
      <c r="N66" s="35"/>
      <c r="O66" s="41"/>
      <c r="P66" s="37"/>
    </row>
    <row r="67" spans="1:16" x14ac:dyDescent="0.2">
      <c r="A67" s="35"/>
      <c r="B67" s="36"/>
      <c r="C67" s="35"/>
      <c r="D67" s="35"/>
      <c r="E67" s="35"/>
      <c r="F67" s="37"/>
      <c r="G67" s="38"/>
      <c r="H67" s="38"/>
      <c r="I67" s="39"/>
      <c r="J67" s="38"/>
      <c r="K67" s="38"/>
      <c r="L67" s="40"/>
      <c r="M67" s="35"/>
      <c r="N67" s="35"/>
      <c r="O67" s="41"/>
      <c r="P67" s="37"/>
    </row>
    <row r="68" spans="1:16" x14ac:dyDescent="0.2">
      <c r="A68" s="35"/>
      <c r="B68" s="36"/>
      <c r="C68" s="35"/>
      <c r="D68" s="35"/>
      <c r="E68" s="35"/>
      <c r="F68" s="37"/>
      <c r="G68" s="38"/>
      <c r="H68" s="38"/>
      <c r="I68" s="39"/>
      <c r="J68" s="38"/>
      <c r="K68" s="38"/>
      <c r="L68" s="40"/>
      <c r="M68" s="35"/>
      <c r="N68" s="35"/>
      <c r="O68" s="41"/>
      <c r="P68" s="37"/>
    </row>
    <row r="69" spans="1:16" x14ac:dyDescent="0.2">
      <c r="A69" s="35"/>
      <c r="B69" s="36"/>
      <c r="C69" s="35"/>
      <c r="D69" s="35"/>
      <c r="E69" s="35"/>
      <c r="F69" s="37"/>
      <c r="G69" s="38"/>
      <c r="H69" s="38"/>
      <c r="I69" s="39"/>
      <c r="J69" s="38"/>
      <c r="K69" s="38"/>
      <c r="L69" s="40"/>
      <c r="M69" s="35"/>
      <c r="N69" s="35"/>
      <c r="O69" s="41"/>
      <c r="P69" s="37"/>
    </row>
    <row r="70" spans="1:16" x14ac:dyDescent="0.2">
      <c r="A70" s="35"/>
      <c r="B70" s="36"/>
      <c r="C70" s="35"/>
      <c r="D70" s="35"/>
      <c r="E70" s="35"/>
      <c r="F70" s="37"/>
      <c r="G70" s="38"/>
      <c r="H70" s="38"/>
      <c r="I70" s="39"/>
      <c r="J70" s="38"/>
      <c r="K70" s="38"/>
      <c r="L70" s="40"/>
      <c r="M70" s="35"/>
      <c r="N70" s="35"/>
      <c r="O70" s="41"/>
      <c r="P70" s="37"/>
    </row>
    <row r="71" spans="1:16" x14ac:dyDescent="0.2">
      <c r="A71" s="35"/>
      <c r="B71" s="36"/>
      <c r="C71" s="35"/>
      <c r="D71" s="35"/>
      <c r="E71" s="35"/>
      <c r="F71" s="37"/>
      <c r="G71" s="38"/>
      <c r="H71" s="38"/>
      <c r="I71" s="39"/>
      <c r="J71" s="38"/>
      <c r="K71" s="38"/>
      <c r="L71" s="40"/>
      <c r="M71" s="35"/>
      <c r="N71" s="35"/>
      <c r="O71" s="41"/>
      <c r="P71" s="37"/>
    </row>
    <row r="72" spans="1:16" x14ac:dyDescent="0.2">
      <c r="A72" s="35"/>
      <c r="B72" s="36"/>
      <c r="C72" s="35"/>
      <c r="D72" s="35"/>
      <c r="E72" s="35"/>
      <c r="F72" s="37"/>
      <c r="G72" s="38"/>
      <c r="H72" s="38"/>
      <c r="I72" s="39"/>
      <c r="J72" s="38"/>
      <c r="K72" s="38"/>
      <c r="L72" s="40"/>
      <c r="M72" s="35"/>
      <c r="N72" s="35"/>
      <c r="O72" s="41"/>
      <c r="P72" s="37"/>
    </row>
    <row r="73" spans="1:16" x14ac:dyDescent="0.2">
      <c r="A73" s="35"/>
      <c r="B73" s="36"/>
      <c r="C73" s="35"/>
      <c r="D73" s="35"/>
      <c r="E73" s="35"/>
      <c r="F73" s="37"/>
      <c r="G73" s="38"/>
      <c r="H73" s="38"/>
      <c r="I73" s="39"/>
      <c r="J73" s="38"/>
      <c r="K73" s="38"/>
      <c r="L73" s="40"/>
      <c r="M73" s="35"/>
      <c r="N73" s="35"/>
      <c r="O73" s="41"/>
      <c r="P73" s="37"/>
    </row>
    <row r="74" spans="1:16" x14ac:dyDescent="0.2">
      <c r="A74" s="35"/>
      <c r="B74" s="36"/>
      <c r="C74" s="35"/>
      <c r="D74" s="35"/>
      <c r="E74" s="35"/>
      <c r="F74" s="37"/>
      <c r="G74" s="38"/>
      <c r="H74" s="38"/>
      <c r="I74" s="39"/>
      <c r="J74" s="38"/>
      <c r="K74" s="38"/>
      <c r="L74" s="40"/>
      <c r="M74" s="35"/>
      <c r="N74" s="35"/>
      <c r="O74" s="41"/>
      <c r="P74" s="37"/>
    </row>
    <row r="75" spans="1:16" x14ac:dyDescent="0.2">
      <c r="A75" s="35"/>
      <c r="B75" s="36"/>
      <c r="C75" s="35"/>
      <c r="D75" s="35"/>
      <c r="E75" s="35"/>
      <c r="F75" s="37"/>
      <c r="G75" s="38"/>
      <c r="H75" s="38"/>
      <c r="I75" s="39"/>
      <c r="J75" s="38"/>
      <c r="K75" s="38"/>
      <c r="L75" s="40"/>
      <c r="M75" s="35"/>
      <c r="N75" s="35"/>
      <c r="O75" s="41"/>
      <c r="P75" s="37"/>
    </row>
    <row r="76" spans="1:16" x14ac:dyDescent="0.2">
      <c r="A76" s="35"/>
      <c r="B76" s="36"/>
      <c r="C76" s="35"/>
      <c r="D76" s="35"/>
      <c r="E76" s="35"/>
      <c r="F76" s="37"/>
      <c r="G76" s="38"/>
      <c r="H76" s="38"/>
      <c r="I76" s="39"/>
      <c r="J76" s="38"/>
      <c r="K76" s="38"/>
      <c r="L76" s="40"/>
      <c r="M76" s="35"/>
      <c r="N76" s="35"/>
      <c r="O76" s="41"/>
      <c r="P76" s="37"/>
    </row>
    <row r="77" spans="1:16" x14ac:dyDescent="0.2">
      <c r="A77" s="35"/>
      <c r="B77" s="36"/>
      <c r="C77" s="35"/>
      <c r="D77" s="35"/>
      <c r="E77" s="35"/>
      <c r="F77" s="37"/>
      <c r="G77" s="38"/>
      <c r="H77" s="38"/>
      <c r="I77" s="39"/>
      <c r="J77" s="38"/>
      <c r="K77" s="38"/>
      <c r="L77" s="40"/>
      <c r="M77" s="35"/>
      <c r="N77" s="35"/>
      <c r="O77" s="41"/>
      <c r="P77" s="37"/>
    </row>
    <row r="78" spans="1:16" x14ac:dyDescent="0.2">
      <c r="A78" s="35"/>
      <c r="B78" s="36"/>
      <c r="C78" s="35"/>
      <c r="D78" s="35"/>
      <c r="E78" s="35"/>
      <c r="F78" s="37"/>
      <c r="G78" s="38"/>
      <c r="H78" s="38"/>
      <c r="I78" s="39"/>
      <c r="J78" s="38"/>
      <c r="K78" s="38"/>
      <c r="L78" s="40"/>
      <c r="M78" s="35"/>
      <c r="N78" s="35"/>
      <c r="O78" s="41"/>
      <c r="P78" s="37"/>
    </row>
    <row r="79" spans="1:16" x14ac:dyDescent="0.2">
      <c r="A79" s="35"/>
      <c r="B79" s="36"/>
      <c r="C79" s="35"/>
      <c r="D79" s="35"/>
      <c r="E79" s="35"/>
      <c r="F79" s="37"/>
      <c r="G79" s="38"/>
      <c r="H79" s="38"/>
      <c r="I79" s="39"/>
      <c r="J79" s="38"/>
      <c r="K79" s="38"/>
      <c r="L79" s="40"/>
      <c r="M79" s="35"/>
      <c r="N79" s="35"/>
      <c r="O79" s="41"/>
      <c r="P79" s="37"/>
    </row>
    <row r="80" spans="1:16" x14ac:dyDescent="0.2">
      <c r="A80" s="35"/>
      <c r="B80" s="36"/>
      <c r="C80" s="35"/>
      <c r="D80" s="35"/>
      <c r="E80" s="35"/>
      <c r="F80" s="37"/>
      <c r="G80" s="38"/>
      <c r="H80" s="38"/>
      <c r="I80" s="39"/>
      <c r="J80" s="38"/>
      <c r="K80" s="38"/>
      <c r="L80" s="40"/>
      <c r="M80" s="35"/>
      <c r="N80" s="35"/>
      <c r="O80" s="41"/>
      <c r="P80" s="37"/>
    </row>
    <row r="81" spans="1:16" x14ac:dyDescent="0.2">
      <c r="A81" s="35"/>
      <c r="B81" s="36"/>
      <c r="C81" s="35"/>
      <c r="D81" s="35"/>
      <c r="E81" s="35"/>
      <c r="F81" s="37"/>
      <c r="G81" s="38"/>
      <c r="H81" s="38"/>
      <c r="I81" s="39"/>
      <c r="J81" s="38"/>
      <c r="K81" s="38"/>
      <c r="L81" s="40"/>
      <c r="M81" s="35"/>
      <c r="N81" s="35"/>
      <c r="O81" s="41"/>
      <c r="P81" s="37"/>
    </row>
    <row r="82" spans="1:16" x14ac:dyDescent="0.2">
      <c r="A82" s="35"/>
      <c r="B82" s="36"/>
      <c r="C82" s="35"/>
      <c r="D82" s="35"/>
      <c r="E82" s="35"/>
      <c r="F82" s="37"/>
      <c r="G82" s="38"/>
      <c r="H82" s="38"/>
      <c r="I82" s="39"/>
      <c r="J82" s="38"/>
      <c r="K82" s="38"/>
      <c r="L82" s="40"/>
      <c r="M82" s="35"/>
      <c r="N82" s="35"/>
      <c r="O82" s="41"/>
      <c r="P82" s="37"/>
    </row>
    <row r="83" spans="1:16" x14ac:dyDescent="0.2">
      <c r="A83" s="35"/>
      <c r="B83" s="36"/>
      <c r="C83" s="35"/>
      <c r="D83" s="35"/>
      <c r="E83" s="35"/>
      <c r="F83" s="37"/>
      <c r="G83" s="38"/>
      <c r="H83" s="38"/>
      <c r="I83" s="39"/>
      <c r="J83" s="38"/>
      <c r="K83" s="38"/>
      <c r="L83" s="40"/>
      <c r="M83" s="35"/>
      <c r="N83" s="35"/>
      <c r="O83" s="41"/>
      <c r="P83" s="37"/>
    </row>
    <row r="84" spans="1:16" x14ac:dyDescent="0.2">
      <c r="A84" s="35"/>
      <c r="B84" s="36"/>
      <c r="C84" s="35"/>
      <c r="D84" s="35"/>
      <c r="E84" s="35"/>
      <c r="F84" s="37"/>
      <c r="G84" s="38"/>
      <c r="H84" s="38"/>
      <c r="I84" s="39"/>
      <c r="J84" s="38"/>
      <c r="K84" s="38"/>
      <c r="L84" s="40"/>
      <c r="M84" s="35"/>
      <c r="N84" s="35"/>
      <c r="O84" s="41"/>
      <c r="P84" s="37"/>
    </row>
    <row r="85" spans="1:16" x14ac:dyDescent="0.2">
      <c r="A85" s="35"/>
      <c r="B85" s="36"/>
      <c r="C85" s="35"/>
      <c r="D85" s="35"/>
      <c r="E85" s="35"/>
      <c r="F85" s="37"/>
      <c r="G85" s="38"/>
      <c r="H85" s="38"/>
      <c r="I85" s="39"/>
      <c r="J85" s="38"/>
      <c r="K85" s="38"/>
      <c r="L85" s="40"/>
      <c r="M85" s="35"/>
      <c r="N85" s="35"/>
      <c r="O85" s="41"/>
      <c r="P85" s="37"/>
    </row>
    <row r="86" spans="1:16" x14ac:dyDescent="0.2">
      <c r="A86" s="35"/>
      <c r="B86" s="36"/>
      <c r="C86" s="35"/>
      <c r="D86" s="35"/>
      <c r="E86" s="35"/>
      <c r="F86" s="37"/>
      <c r="G86" s="38"/>
      <c r="H86" s="38"/>
      <c r="I86" s="39"/>
      <c r="J86" s="38"/>
      <c r="K86" s="38"/>
      <c r="L86" s="40"/>
      <c r="M86" s="35"/>
      <c r="N86" s="35"/>
      <c r="O86" s="41"/>
      <c r="P86" s="37"/>
    </row>
    <row r="87" spans="1:16" x14ac:dyDescent="0.2">
      <c r="A87" s="35"/>
      <c r="B87" s="36"/>
      <c r="C87" s="35"/>
      <c r="D87" s="35"/>
      <c r="E87" s="35"/>
      <c r="F87" s="37"/>
      <c r="G87" s="38"/>
      <c r="H87" s="38"/>
      <c r="I87" s="39"/>
      <c r="J87" s="38"/>
      <c r="K87" s="38"/>
      <c r="L87" s="40"/>
      <c r="M87" s="35"/>
      <c r="N87" s="35"/>
      <c r="O87" s="41"/>
      <c r="P87" s="37"/>
    </row>
    <row r="88" spans="1:16" x14ac:dyDescent="0.2">
      <c r="A88" s="35"/>
      <c r="B88" s="36"/>
      <c r="C88" s="35"/>
      <c r="D88" s="35"/>
      <c r="E88" s="35"/>
      <c r="F88" s="37"/>
      <c r="G88" s="38"/>
      <c r="H88" s="38"/>
      <c r="I88" s="39"/>
      <c r="J88" s="38"/>
      <c r="K88" s="38"/>
      <c r="L88" s="40"/>
      <c r="M88" s="35"/>
      <c r="N88" s="35"/>
      <c r="O88" s="41"/>
      <c r="P88" s="37"/>
    </row>
    <row r="89" spans="1:16" x14ac:dyDescent="0.2">
      <c r="A89" s="35"/>
      <c r="B89" s="36"/>
      <c r="C89" s="35"/>
      <c r="D89" s="35"/>
      <c r="E89" s="35"/>
      <c r="F89" s="37"/>
      <c r="G89" s="38"/>
      <c r="H89" s="38"/>
      <c r="I89" s="39"/>
      <c r="J89" s="38"/>
      <c r="K89" s="38"/>
      <c r="L89" s="40"/>
      <c r="M89" s="35"/>
      <c r="N89" s="35"/>
      <c r="O89" s="41"/>
      <c r="P89" s="37"/>
    </row>
    <row r="90" spans="1:16" x14ac:dyDescent="0.2">
      <c r="A90" s="35"/>
      <c r="B90" s="36"/>
      <c r="C90" s="35"/>
      <c r="D90" s="35"/>
      <c r="E90" s="35"/>
      <c r="F90" s="37"/>
      <c r="G90" s="38"/>
      <c r="H90" s="38"/>
      <c r="I90" s="39"/>
      <c r="J90" s="38"/>
      <c r="K90" s="38"/>
      <c r="L90" s="40"/>
      <c r="M90" s="35"/>
      <c r="N90" s="35"/>
      <c r="O90" s="41"/>
      <c r="P90" s="37"/>
    </row>
    <row r="91" spans="1:16" x14ac:dyDescent="0.2">
      <c r="A91" s="35"/>
      <c r="B91" s="36"/>
      <c r="C91" s="35"/>
      <c r="D91" s="35"/>
      <c r="E91" s="35"/>
      <c r="F91" s="37"/>
      <c r="G91" s="38"/>
      <c r="H91" s="38"/>
      <c r="I91" s="39"/>
      <c r="J91" s="38"/>
      <c r="K91" s="38"/>
      <c r="L91" s="40"/>
      <c r="M91" s="35"/>
      <c r="N91" s="35"/>
      <c r="O91" s="41"/>
      <c r="P91" s="37"/>
    </row>
    <row r="92" spans="1:16" x14ac:dyDescent="0.2">
      <c r="A92" s="35"/>
      <c r="B92" s="36"/>
      <c r="C92" s="35"/>
      <c r="D92" s="35"/>
      <c r="E92" s="35"/>
      <c r="F92" s="37"/>
      <c r="G92" s="38"/>
      <c r="H92" s="38"/>
      <c r="I92" s="39"/>
      <c r="J92" s="38"/>
      <c r="K92" s="38"/>
      <c r="L92" s="40"/>
      <c r="M92" s="35"/>
      <c r="N92" s="35"/>
      <c r="O92" s="41"/>
      <c r="P92" s="37"/>
    </row>
    <row r="93" spans="1:16" x14ac:dyDescent="0.2">
      <c r="A93" s="35"/>
      <c r="B93" s="36"/>
      <c r="C93" s="35"/>
      <c r="D93" s="35"/>
      <c r="E93" s="35"/>
      <c r="F93" s="37"/>
      <c r="G93" s="38"/>
      <c r="H93" s="38"/>
      <c r="I93" s="39"/>
      <c r="J93" s="38"/>
      <c r="K93" s="38"/>
      <c r="L93" s="40"/>
      <c r="M93" s="35"/>
      <c r="N93" s="35"/>
      <c r="O93" s="41"/>
      <c r="P93" s="37"/>
    </row>
    <row r="94" spans="1:16" x14ac:dyDescent="0.2">
      <c r="A94" s="35"/>
      <c r="B94" s="36"/>
      <c r="C94" s="35"/>
      <c r="D94" s="35"/>
      <c r="E94" s="35"/>
      <c r="F94" s="37"/>
      <c r="G94" s="38"/>
      <c r="H94" s="38"/>
      <c r="I94" s="39"/>
      <c r="J94" s="38"/>
      <c r="K94" s="38"/>
      <c r="L94" s="40"/>
      <c r="M94" s="35"/>
      <c r="N94" s="35"/>
      <c r="O94" s="41"/>
      <c r="P94" s="37"/>
    </row>
    <row r="95" spans="1:16" x14ac:dyDescent="0.2">
      <c r="A95" s="35"/>
      <c r="B95" s="36"/>
      <c r="C95" s="35"/>
      <c r="D95" s="35"/>
      <c r="E95" s="35"/>
      <c r="F95" s="37"/>
      <c r="G95" s="38"/>
      <c r="H95" s="38"/>
      <c r="I95" s="39"/>
      <c r="J95" s="38"/>
      <c r="K95" s="38"/>
      <c r="L95" s="40"/>
      <c r="M95" s="35"/>
      <c r="N95" s="35"/>
      <c r="O95" s="41"/>
      <c r="P95" s="37"/>
    </row>
    <row r="96" spans="1:16" x14ac:dyDescent="0.2">
      <c r="A96" s="35"/>
      <c r="B96" s="36"/>
      <c r="C96" s="35"/>
      <c r="D96" s="35"/>
      <c r="E96" s="35"/>
      <c r="F96" s="37"/>
      <c r="G96" s="38"/>
      <c r="H96" s="38"/>
      <c r="I96" s="39"/>
      <c r="J96" s="38"/>
      <c r="K96" s="38"/>
      <c r="L96" s="40"/>
      <c r="M96" s="35"/>
      <c r="N96" s="35"/>
      <c r="O96" s="41"/>
      <c r="P96" s="37"/>
    </row>
    <row r="97" spans="1:16" x14ac:dyDescent="0.2">
      <c r="A97" s="35"/>
      <c r="B97" s="36"/>
      <c r="C97" s="35"/>
      <c r="D97" s="35"/>
      <c r="E97" s="35"/>
      <c r="F97" s="37"/>
      <c r="G97" s="38"/>
      <c r="H97" s="38"/>
      <c r="I97" s="39"/>
      <c r="J97" s="38"/>
      <c r="K97" s="38"/>
      <c r="L97" s="40"/>
      <c r="M97" s="35"/>
      <c r="N97" s="35"/>
      <c r="O97" s="41"/>
      <c r="P97" s="37"/>
    </row>
    <row r="98" spans="1:16" x14ac:dyDescent="0.2">
      <c r="A98" s="35"/>
      <c r="B98" s="36"/>
      <c r="C98" s="35"/>
      <c r="D98" s="35"/>
      <c r="E98" s="35"/>
      <c r="F98" s="37"/>
      <c r="G98" s="38"/>
      <c r="H98" s="38"/>
      <c r="I98" s="39"/>
      <c r="J98" s="38"/>
      <c r="K98" s="38"/>
      <c r="L98" s="40"/>
      <c r="M98" s="35"/>
      <c r="N98" s="35"/>
      <c r="O98" s="41"/>
      <c r="P98" s="37"/>
    </row>
    <row r="99" spans="1:16" x14ac:dyDescent="0.2">
      <c r="A99" s="35"/>
      <c r="B99" s="36"/>
      <c r="C99" s="35"/>
      <c r="D99" s="35"/>
      <c r="E99" s="35"/>
      <c r="F99" s="37"/>
      <c r="G99" s="38"/>
      <c r="H99" s="38"/>
      <c r="I99" s="39"/>
      <c r="J99" s="38"/>
      <c r="K99" s="38"/>
      <c r="L99" s="40"/>
      <c r="M99" s="35"/>
      <c r="N99" s="35"/>
      <c r="O99" s="41"/>
      <c r="P99" s="37"/>
    </row>
    <row r="100" spans="1:16" x14ac:dyDescent="0.2">
      <c r="A100" s="35"/>
      <c r="B100" s="36"/>
      <c r="C100" s="35"/>
      <c r="D100" s="35"/>
      <c r="E100" s="35"/>
      <c r="F100" s="37"/>
      <c r="G100" s="38"/>
      <c r="H100" s="38"/>
      <c r="I100" s="39"/>
      <c r="J100" s="38"/>
      <c r="K100" s="38"/>
      <c r="L100" s="40"/>
      <c r="M100" s="35"/>
      <c r="N100" s="35"/>
      <c r="O100" s="41"/>
      <c r="P100" s="37"/>
    </row>
    <row r="101" spans="1:16" x14ac:dyDescent="0.2">
      <c r="A101" s="35"/>
      <c r="B101" s="36"/>
      <c r="C101" s="35"/>
      <c r="D101" s="35"/>
      <c r="E101" s="35"/>
      <c r="F101" s="37"/>
      <c r="G101" s="38"/>
      <c r="H101" s="38"/>
      <c r="I101" s="39"/>
      <c r="J101" s="38"/>
      <c r="K101" s="38"/>
      <c r="L101" s="40"/>
      <c r="M101" s="35"/>
      <c r="N101" s="35"/>
      <c r="O101" s="41"/>
      <c r="P101" s="37"/>
    </row>
    <row r="102" spans="1:16" x14ac:dyDescent="0.2">
      <c r="A102" s="35"/>
      <c r="B102" s="36"/>
      <c r="C102" s="35"/>
      <c r="D102" s="35"/>
      <c r="E102" s="35"/>
      <c r="F102" s="37"/>
      <c r="G102" s="38"/>
      <c r="H102" s="38"/>
      <c r="I102" s="39"/>
      <c r="J102" s="38"/>
      <c r="K102" s="38"/>
      <c r="L102" s="40"/>
      <c r="M102" s="35"/>
      <c r="N102" s="35"/>
      <c r="O102" s="41"/>
      <c r="P102" s="37"/>
    </row>
    <row r="103" spans="1:16" x14ac:dyDescent="0.2">
      <c r="A103" s="35"/>
      <c r="B103" s="36"/>
      <c r="C103" s="35"/>
      <c r="D103" s="35"/>
      <c r="E103" s="35"/>
      <c r="F103" s="37"/>
      <c r="G103" s="38"/>
      <c r="H103" s="38"/>
      <c r="I103" s="39"/>
      <c r="J103" s="38"/>
      <c r="K103" s="38"/>
      <c r="L103" s="40"/>
      <c r="M103" s="35"/>
      <c r="N103" s="35"/>
      <c r="O103" s="41"/>
      <c r="P103" s="37"/>
    </row>
    <row r="104" spans="1:16" x14ac:dyDescent="0.2">
      <c r="A104" s="35"/>
      <c r="B104" s="36"/>
      <c r="C104" s="35"/>
      <c r="D104" s="35"/>
      <c r="E104" s="35"/>
      <c r="F104" s="37"/>
      <c r="G104" s="38"/>
      <c r="H104" s="38"/>
      <c r="I104" s="39"/>
      <c r="J104" s="38"/>
      <c r="K104" s="38"/>
      <c r="L104" s="40"/>
      <c r="M104" s="35"/>
      <c r="N104" s="35"/>
      <c r="O104" s="41"/>
      <c r="P104" s="37"/>
    </row>
    <row r="105" spans="1:16" x14ac:dyDescent="0.2">
      <c r="A105" s="35"/>
      <c r="B105" s="36"/>
      <c r="C105" s="35"/>
      <c r="D105" s="35"/>
      <c r="E105" s="35"/>
      <c r="F105" s="37"/>
      <c r="G105" s="38"/>
      <c r="H105" s="38"/>
      <c r="I105" s="39"/>
      <c r="J105" s="38"/>
      <c r="K105" s="38"/>
      <c r="L105" s="40"/>
      <c r="M105" s="35"/>
      <c r="N105" s="35"/>
      <c r="O105" s="41"/>
      <c r="P105" s="37"/>
    </row>
    <row r="106" spans="1:16" x14ac:dyDescent="0.2">
      <c r="A106" s="35"/>
      <c r="B106" s="36"/>
      <c r="C106" s="35"/>
      <c r="D106" s="35"/>
      <c r="E106" s="35"/>
      <c r="F106" s="37"/>
      <c r="G106" s="38"/>
      <c r="H106" s="38"/>
      <c r="I106" s="39"/>
      <c r="J106" s="38"/>
      <c r="K106" s="38"/>
      <c r="L106" s="40"/>
      <c r="M106" s="35"/>
      <c r="N106" s="35"/>
      <c r="O106" s="41"/>
      <c r="P106" s="37"/>
    </row>
    <row r="107" spans="1:16" x14ac:dyDescent="0.2">
      <c r="A107" s="35"/>
      <c r="B107" s="36"/>
      <c r="C107" s="35"/>
      <c r="D107" s="35"/>
      <c r="E107" s="35"/>
      <c r="F107" s="37"/>
      <c r="G107" s="38"/>
      <c r="H107" s="38"/>
      <c r="I107" s="39"/>
      <c r="J107" s="38"/>
      <c r="K107" s="38"/>
      <c r="L107" s="40"/>
      <c r="M107" s="35"/>
      <c r="N107" s="35"/>
      <c r="O107" s="41"/>
      <c r="P107" s="37"/>
    </row>
    <row r="108" spans="1:16" x14ac:dyDescent="0.2">
      <c r="A108" s="35"/>
      <c r="B108" s="36"/>
      <c r="C108" s="35"/>
      <c r="D108" s="35"/>
      <c r="E108" s="35"/>
      <c r="F108" s="37"/>
      <c r="G108" s="38"/>
      <c r="H108" s="38"/>
      <c r="I108" s="39"/>
      <c r="J108" s="38"/>
      <c r="K108" s="38"/>
      <c r="L108" s="40"/>
      <c r="M108" s="35"/>
      <c r="N108" s="35"/>
      <c r="O108" s="41"/>
      <c r="P108" s="37"/>
    </row>
    <row r="109" spans="1:16" x14ac:dyDescent="0.2">
      <c r="A109" s="35"/>
      <c r="B109" s="36"/>
      <c r="C109" s="35"/>
      <c r="D109" s="35"/>
      <c r="E109" s="35"/>
      <c r="F109" s="37"/>
      <c r="G109" s="38"/>
      <c r="H109" s="38"/>
      <c r="I109" s="39"/>
      <c r="J109" s="38"/>
      <c r="K109" s="38"/>
      <c r="L109" s="40"/>
      <c r="M109" s="35"/>
      <c r="N109" s="35"/>
      <c r="O109" s="41"/>
      <c r="P109" s="37"/>
    </row>
    <row r="110" spans="1:16" x14ac:dyDescent="0.2">
      <c r="A110" s="35"/>
      <c r="B110" s="36"/>
      <c r="C110" s="35"/>
      <c r="D110" s="35"/>
      <c r="E110" s="35"/>
      <c r="F110" s="37"/>
      <c r="G110" s="38"/>
      <c r="H110" s="38"/>
      <c r="I110" s="39"/>
      <c r="J110" s="38"/>
      <c r="K110" s="38"/>
      <c r="L110" s="40"/>
      <c r="M110" s="35"/>
      <c r="N110" s="35"/>
      <c r="O110" s="41"/>
      <c r="P110" s="37"/>
    </row>
    <row r="111" spans="1:16" x14ac:dyDescent="0.2">
      <c r="A111" s="35"/>
      <c r="B111" s="36"/>
      <c r="C111" s="35"/>
      <c r="D111" s="35"/>
      <c r="E111" s="35"/>
      <c r="F111" s="37"/>
      <c r="G111" s="38"/>
      <c r="H111" s="38"/>
      <c r="I111" s="39"/>
      <c r="J111" s="38"/>
      <c r="K111" s="38"/>
      <c r="L111" s="40"/>
      <c r="M111" s="35"/>
      <c r="N111" s="35"/>
      <c r="O111" s="41"/>
      <c r="P111" s="37"/>
    </row>
    <row r="112" spans="1:16" x14ac:dyDescent="0.2">
      <c r="A112" s="35"/>
      <c r="B112" s="36"/>
      <c r="C112" s="35"/>
      <c r="D112" s="35"/>
      <c r="E112" s="35"/>
      <c r="F112" s="37"/>
      <c r="G112" s="38"/>
      <c r="H112" s="38"/>
      <c r="I112" s="39"/>
      <c r="J112" s="38"/>
      <c r="K112" s="38"/>
      <c r="L112" s="40"/>
      <c r="M112" s="35"/>
      <c r="N112" s="35"/>
      <c r="O112" s="41"/>
      <c r="P112" s="37"/>
    </row>
    <row r="113" spans="1:16" x14ac:dyDescent="0.2">
      <c r="A113" s="35"/>
      <c r="B113" s="36"/>
      <c r="C113" s="35"/>
      <c r="D113" s="35"/>
      <c r="E113" s="35"/>
      <c r="F113" s="37"/>
      <c r="G113" s="38"/>
      <c r="H113" s="38"/>
      <c r="I113" s="39"/>
      <c r="J113" s="38"/>
      <c r="K113" s="38"/>
      <c r="L113" s="40"/>
      <c r="M113" s="35"/>
      <c r="N113" s="35"/>
      <c r="O113" s="41"/>
      <c r="P113" s="37"/>
    </row>
    <row r="114" spans="1:16" x14ac:dyDescent="0.2">
      <c r="A114" s="35"/>
      <c r="B114" s="36"/>
      <c r="C114" s="35"/>
      <c r="D114" s="35"/>
      <c r="E114" s="35"/>
      <c r="F114" s="37"/>
      <c r="G114" s="38"/>
      <c r="H114" s="38"/>
      <c r="I114" s="39"/>
      <c r="J114" s="38"/>
      <c r="K114" s="38"/>
      <c r="L114" s="40"/>
      <c r="M114" s="35"/>
      <c r="N114" s="35"/>
      <c r="O114" s="41"/>
      <c r="P114" s="37"/>
    </row>
    <row r="115" spans="1:16" x14ac:dyDescent="0.2">
      <c r="A115" s="35"/>
      <c r="B115" s="36"/>
      <c r="C115" s="35"/>
      <c r="D115" s="35"/>
      <c r="E115" s="35"/>
      <c r="F115" s="37"/>
      <c r="G115" s="38"/>
      <c r="H115" s="38"/>
      <c r="I115" s="39"/>
      <c r="J115" s="38"/>
      <c r="K115" s="38"/>
      <c r="L115" s="40"/>
      <c r="M115" s="35"/>
      <c r="N115" s="35"/>
      <c r="O115" s="41"/>
      <c r="P115" s="37"/>
    </row>
    <row r="116" spans="1:16" x14ac:dyDescent="0.2">
      <c r="A116" s="35"/>
      <c r="B116" s="36"/>
      <c r="C116" s="35"/>
      <c r="D116" s="35"/>
      <c r="E116" s="35"/>
      <c r="F116" s="37"/>
      <c r="G116" s="38"/>
      <c r="H116" s="38"/>
      <c r="I116" s="39"/>
      <c r="J116" s="38"/>
      <c r="K116" s="38"/>
      <c r="L116" s="40"/>
      <c r="M116" s="35"/>
      <c r="N116" s="35"/>
      <c r="O116" s="41"/>
      <c r="P116" s="37"/>
    </row>
    <row r="117" spans="1:16" x14ac:dyDescent="0.2">
      <c r="A117" s="35"/>
      <c r="B117" s="36"/>
      <c r="C117" s="35"/>
      <c r="D117" s="35"/>
      <c r="E117" s="35"/>
      <c r="F117" s="37"/>
      <c r="G117" s="38"/>
      <c r="H117" s="38"/>
      <c r="I117" s="39"/>
      <c r="J117" s="38"/>
      <c r="K117" s="38"/>
      <c r="L117" s="40"/>
      <c r="M117" s="35"/>
      <c r="N117" s="35"/>
      <c r="O117" s="41"/>
      <c r="P117" s="37"/>
    </row>
    <row r="118" spans="1:16" x14ac:dyDescent="0.2">
      <c r="A118" s="35"/>
      <c r="B118" s="36"/>
      <c r="C118" s="35"/>
      <c r="D118" s="35"/>
      <c r="E118" s="35"/>
      <c r="F118" s="37"/>
      <c r="G118" s="38"/>
      <c r="H118" s="38"/>
      <c r="I118" s="39"/>
      <c r="J118" s="38"/>
      <c r="K118" s="38"/>
      <c r="L118" s="40"/>
      <c r="M118" s="35"/>
      <c r="N118" s="35"/>
      <c r="O118" s="41"/>
      <c r="P118" s="37"/>
    </row>
    <row r="119" spans="1:16" x14ac:dyDescent="0.2">
      <c r="A119" s="35"/>
      <c r="B119" s="36"/>
      <c r="C119" s="35"/>
      <c r="D119" s="35"/>
      <c r="E119" s="35"/>
      <c r="F119" s="37"/>
      <c r="G119" s="38"/>
      <c r="H119" s="38"/>
      <c r="I119" s="39"/>
      <c r="J119" s="38"/>
      <c r="K119" s="38"/>
      <c r="L119" s="40"/>
      <c r="M119" s="35"/>
      <c r="N119" s="35"/>
      <c r="O119" s="41"/>
      <c r="P119" s="37"/>
    </row>
    <row r="120" spans="1:16" x14ac:dyDescent="0.2">
      <c r="A120" s="35"/>
      <c r="B120" s="36"/>
      <c r="C120" s="35"/>
      <c r="D120" s="35"/>
      <c r="E120" s="35"/>
      <c r="F120" s="37"/>
      <c r="G120" s="38"/>
      <c r="H120" s="38"/>
      <c r="I120" s="39"/>
      <c r="J120" s="38"/>
      <c r="K120" s="38"/>
      <c r="L120" s="40"/>
      <c r="M120" s="35"/>
      <c r="N120" s="35"/>
      <c r="O120" s="41"/>
      <c r="P120" s="37"/>
    </row>
    <row r="121" spans="1:16" x14ac:dyDescent="0.2">
      <c r="A121" s="35"/>
      <c r="B121" s="36"/>
      <c r="C121" s="35"/>
      <c r="D121" s="35"/>
      <c r="E121" s="35"/>
      <c r="F121" s="37"/>
      <c r="G121" s="38"/>
      <c r="H121" s="38"/>
      <c r="I121" s="39"/>
      <c r="J121" s="38"/>
      <c r="K121" s="38"/>
      <c r="L121" s="40"/>
      <c r="M121" s="35"/>
      <c r="N121" s="35"/>
      <c r="O121" s="41"/>
      <c r="P121" s="37"/>
    </row>
    <row r="122" spans="1:16" x14ac:dyDescent="0.2">
      <c r="A122" s="35"/>
      <c r="B122" s="36"/>
      <c r="C122" s="35"/>
      <c r="D122" s="35"/>
      <c r="E122" s="35"/>
      <c r="F122" s="37"/>
      <c r="G122" s="38"/>
      <c r="H122" s="38"/>
      <c r="I122" s="39"/>
      <c r="J122" s="38"/>
      <c r="K122" s="38"/>
      <c r="L122" s="40"/>
      <c r="M122" s="35"/>
      <c r="N122" s="35"/>
      <c r="O122" s="41"/>
      <c r="P122" s="37"/>
    </row>
    <row r="123" spans="1:16" x14ac:dyDescent="0.2">
      <c r="A123" s="35"/>
      <c r="B123" s="36"/>
      <c r="C123" s="35"/>
      <c r="D123" s="35"/>
      <c r="E123" s="35"/>
      <c r="F123" s="37"/>
      <c r="G123" s="38"/>
      <c r="H123" s="38"/>
      <c r="I123" s="39"/>
      <c r="J123" s="38"/>
      <c r="K123" s="38"/>
      <c r="L123" s="40"/>
      <c r="M123" s="35"/>
      <c r="N123" s="35"/>
      <c r="O123" s="41"/>
      <c r="P123" s="37"/>
    </row>
    <row r="124" spans="1:16" x14ac:dyDescent="0.2">
      <c r="A124" s="35"/>
      <c r="B124" s="36"/>
      <c r="C124" s="35"/>
      <c r="D124" s="35"/>
      <c r="E124" s="35"/>
      <c r="F124" s="37"/>
      <c r="G124" s="38"/>
      <c r="H124" s="38"/>
      <c r="I124" s="39"/>
      <c r="J124" s="38"/>
      <c r="K124" s="38"/>
      <c r="L124" s="40"/>
      <c r="M124" s="35"/>
      <c r="N124" s="35"/>
      <c r="O124" s="41"/>
      <c r="P124" s="37"/>
    </row>
    <row r="125" spans="1:16" x14ac:dyDescent="0.2">
      <c r="A125" s="35"/>
      <c r="B125" s="36"/>
      <c r="C125" s="35"/>
      <c r="D125" s="35"/>
      <c r="E125" s="35"/>
      <c r="F125" s="37"/>
      <c r="G125" s="38"/>
      <c r="H125" s="38"/>
      <c r="I125" s="39"/>
      <c r="J125" s="38"/>
      <c r="K125" s="38"/>
      <c r="L125" s="40"/>
      <c r="M125" s="35"/>
      <c r="N125" s="35"/>
      <c r="O125" s="41"/>
      <c r="P125" s="37"/>
    </row>
    <row r="126" spans="1:16" x14ac:dyDescent="0.2">
      <c r="A126" s="35"/>
      <c r="B126" s="36"/>
      <c r="C126" s="35"/>
      <c r="D126" s="35"/>
      <c r="E126" s="35"/>
      <c r="F126" s="37"/>
      <c r="G126" s="38"/>
      <c r="H126" s="38"/>
      <c r="I126" s="39"/>
      <c r="J126" s="38"/>
      <c r="K126" s="38"/>
      <c r="L126" s="40"/>
      <c r="M126" s="35"/>
      <c r="N126" s="35"/>
      <c r="O126" s="41"/>
      <c r="P126" s="37"/>
    </row>
    <row r="127" spans="1:16" x14ac:dyDescent="0.2">
      <c r="A127" s="35"/>
      <c r="B127" s="36"/>
      <c r="C127" s="35"/>
      <c r="D127" s="35"/>
      <c r="E127" s="35"/>
      <c r="F127" s="37"/>
      <c r="G127" s="38"/>
      <c r="H127" s="38"/>
      <c r="I127" s="39"/>
      <c r="J127" s="38"/>
      <c r="K127" s="38"/>
      <c r="L127" s="40"/>
      <c r="M127" s="35"/>
      <c r="N127" s="35"/>
      <c r="O127" s="41"/>
      <c r="P127" s="37"/>
    </row>
    <row r="128" spans="1:16" x14ac:dyDescent="0.2">
      <c r="A128" s="35"/>
      <c r="B128" s="36"/>
      <c r="C128" s="35"/>
      <c r="D128" s="35"/>
      <c r="E128" s="35"/>
      <c r="F128" s="37"/>
      <c r="G128" s="38"/>
      <c r="H128" s="38"/>
      <c r="I128" s="39"/>
      <c r="J128" s="38"/>
      <c r="K128" s="38"/>
      <c r="L128" s="40"/>
      <c r="M128" s="35"/>
      <c r="N128" s="35"/>
      <c r="O128" s="41"/>
      <c r="P128" s="37"/>
    </row>
    <row r="129" spans="1:16" x14ac:dyDescent="0.2">
      <c r="A129" s="35"/>
      <c r="B129" s="36"/>
      <c r="C129" s="35"/>
      <c r="D129" s="35"/>
      <c r="E129" s="35"/>
      <c r="F129" s="37"/>
      <c r="G129" s="38"/>
      <c r="H129" s="38"/>
      <c r="I129" s="39"/>
      <c r="J129" s="38"/>
      <c r="K129" s="38"/>
      <c r="L129" s="40"/>
      <c r="M129" s="35"/>
      <c r="N129" s="35"/>
      <c r="O129" s="41"/>
      <c r="P129" s="37"/>
    </row>
    <row r="130" spans="1:16" x14ac:dyDescent="0.2">
      <c r="A130" s="35"/>
      <c r="B130" s="36"/>
      <c r="C130" s="35"/>
      <c r="D130" s="35"/>
      <c r="E130" s="35"/>
      <c r="F130" s="37"/>
      <c r="G130" s="38"/>
      <c r="H130" s="38"/>
      <c r="I130" s="39"/>
      <c r="J130" s="38"/>
      <c r="K130" s="38"/>
      <c r="L130" s="40"/>
      <c r="M130" s="35"/>
      <c r="N130" s="35"/>
      <c r="O130" s="41"/>
      <c r="P130" s="37"/>
    </row>
    <row r="131" spans="1:16" x14ac:dyDescent="0.2">
      <c r="A131" s="35"/>
      <c r="B131" s="36"/>
      <c r="C131" s="35"/>
      <c r="D131" s="35"/>
      <c r="E131" s="35"/>
      <c r="F131" s="37"/>
      <c r="G131" s="38"/>
      <c r="H131" s="38"/>
      <c r="I131" s="39"/>
      <c r="J131" s="38"/>
      <c r="K131" s="38"/>
      <c r="L131" s="40"/>
      <c r="M131" s="35"/>
      <c r="N131" s="35"/>
      <c r="O131" s="41"/>
      <c r="P131" s="37"/>
    </row>
    <row r="132" spans="1:16" x14ac:dyDescent="0.2">
      <c r="A132" s="35"/>
      <c r="B132" s="36"/>
      <c r="C132" s="35"/>
      <c r="D132" s="35"/>
      <c r="E132" s="35"/>
      <c r="F132" s="37"/>
      <c r="G132" s="38"/>
      <c r="H132" s="38"/>
      <c r="I132" s="39"/>
      <c r="J132" s="38"/>
      <c r="K132" s="38"/>
      <c r="L132" s="40"/>
      <c r="M132" s="35"/>
      <c r="N132" s="35"/>
      <c r="O132" s="41"/>
      <c r="P132" s="37"/>
    </row>
    <row r="133" spans="1:16" x14ac:dyDescent="0.2">
      <c r="A133" s="35"/>
      <c r="B133" s="36"/>
      <c r="C133" s="35"/>
      <c r="D133" s="35"/>
      <c r="E133" s="35"/>
      <c r="F133" s="37"/>
      <c r="G133" s="38"/>
      <c r="H133" s="38"/>
      <c r="I133" s="39"/>
      <c r="J133" s="38"/>
      <c r="K133" s="38"/>
      <c r="L133" s="40"/>
      <c r="M133" s="35"/>
      <c r="N133" s="35"/>
      <c r="O133" s="41"/>
      <c r="P133" s="37"/>
    </row>
    <row r="134" spans="1:16" x14ac:dyDescent="0.2">
      <c r="A134" s="35"/>
      <c r="B134" s="36"/>
      <c r="C134" s="35"/>
      <c r="D134" s="35"/>
      <c r="E134" s="35"/>
      <c r="F134" s="37"/>
      <c r="G134" s="38"/>
      <c r="H134" s="38"/>
      <c r="I134" s="39"/>
      <c r="J134" s="38"/>
      <c r="K134" s="38"/>
      <c r="L134" s="40"/>
      <c r="M134" s="35"/>
      <c r="N134" s="35"/>
      <c r="O134" s="41"/>
      <c r="P134" s="37"/>
    </row>
    <row r="135" spans="1:16" x14ac:dyDescent="0.2">
      <c r="A135" s="35"/>
      <c r="B135" s="36"/>
      <c r="C135" s="35"/>
      <c r="D135" s="35"/>
      <c r="E135" s="35"/>
      <c r="F135" s="37"/>
      <c r="G135" s="38"/>
      <c r="H135" s="38"/>
      <c r="I135" s="39"/>
      <c r="J135" s="38"/>
      <c r="K135" s="38"/>
      <c r="L135" s="40"/>
      <c r="M135" s="35"/>
      <c r="N135" s="35"/>
      <c r="O135" s="41"/>
      <c r="P135" s="37"/>
    </row>
    <row r="136" spans="1:16" x14ac:dyDescent="0.2">
      <c r="A136" s="35"/>
      <c r="B136" s="36"/>
      <c r="C136" s="35"/>
      <c r="D136" s="35"/>
      <c r="E136" s="35"/>
      <c r="F136" s="37"/>
      <c r="G136" s="38"/>
      <c r="H136" s="38"/>
      <c r="I136" s="39"/>
      <c r="J136" s="38"/>
      <c r="K136" s="38"/>
      <c r="L136" s="40"/>
      <c r="M136" s="35"/>
      <c r="N136" s="35"/>
      <c r="O136" s="41"/>
      <c r="P136" s="37"/>
    </row>
    <row r="137" spans="1:16" x14ac:dyDescent="0.2">
      <c r="A137" s="35"/>
      <c r="B137" s="36"/>
      <c r="C137" s="35"/>
      <c r="D137" s="35"/>
      <c r="E137" s="35"/>
      <c r="F137" s="37"/>
      <c r="G137" s="38"/>
      <c r="H137" s="38"/>
      <c r="I137" s="39"/>
      <c r="J137" s="38"/>
      <c r="K137" s="38"/>
      <c r="L137" s="40"/>
      <c r="M137" s="35"/>
      <c r="N137" s="35"/>
      <c r="O137" s="41"/>
      <c r="P137" s="37"/>
    </row>
    <row r="138" spans="1:16" x14ac:dyDescent="0.2">
      <c r="A138" s="35"/>
      <c r="B138" s="36"/>
      <c r="C138" s="35"/>
      <c r="D138" s="35"/>
      <c r="E138" s="35"/>
      <c r="F138" s="37"/>
      <c r="G138" s="38"/>
      <c r="H138" s="38"/>
      <c r="I138" s="39"/>
      <c r="J138" s="38"/>
      <c r="K138" s="38"/>
      <c r="L138" s="40"/>
      <c r="M138" s="35"/>
      <c r="N138" s="35"/>
      <c r="O138" s="41"/>
      <c r="P138" s="37"/>
    </row>
    <row r="139" spans="1:16" x14ac:dyDescent="0.2">
      <c r="A139" s="35"/>
      <c r="B139" s="36"/>
      <c r="C139" s="35"/>
      <c r="D139" s="35"/>
      <c r="E139" s="35"/>
      <c r="F139" s="37"/>
      <c r="G139" s="38"/>
      <c r="H139" s="38"/>
      <c r="I139" s="39"/>
      <c r="J139" s="38"/>
      <c r="K139" s="38"/>
      <c r="L139" s="40"/>
      <c r="M139" s="35"/>
      <c r="N139" s="35"/>
      <c r="O139" s="41"/>
      <c r="P139" s="37"/>
    </row>
    <row r="140" spans="1:16" x14ac:dyDescent="0.2">
      <c r="A140" s="35"/>
      <c r="B140" s="36"/>
      <c r="C140" s="35"/>
      <c r="D140" s="35"/>
      <c r="E140" s="35"/>
      <c r="F140" s="37"/>
      <c r="G140" s="38"/>
      <c r="H140" s="38"/>
      <c r="I140" s="39"/>
      <c r="J140" s="38"/>
      <c r="K140" s="38"/>
      <c r="L140" s="40"/>
      <c r="M140" s="35"/>
      <c r="N140" s="35"/>
      <c r="O140" s="41"/>
      <c r="P140" s="37"/>
    </row>
  </sheetData>
  <autoFilter ref="A2:O53" xr:uid="{00000000-0001-0000-0000-000000000000}">
    <sortState xmlns:xlrd2="http://schemas.microsoft.com/office/spreadsheetml/2017/richdata2" ref="A3:O53">
      <sortCondition ref="A2:A53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5513-5BFE-4290-B429-C841A7FE7CF3}">
  <dimension ref="A1:B39"/>
  <sheetViews>
    <sheetView topLeftCell="A6" workbookViewId="0">
      <selection activeCell="F21" sqref="F21"/>
    </sheetView>
  </sheetViews>
  <sheetFormatPr defaultColWidth="8.85546875" defaultRowHeight="15" x14ac:dyDescent="0.25"/>
  <cols>
    <col min="1" max="1" width="8.85546875" style="3"/>
    <col min="2" max="2" width="24.28515625" style="3" customWidth="1"/>
    <col min="3" max="16384" width="8.85546875" style="3"/>
  </cols>
  <sheetData>
    <row r="1" spans="1:2" ht="15.75" x14ac:dyDescent="0.25">
      <c r="A1" s="1" t="s">
        <v>14</v>
      </c>
      <c r="B1" s="2" t="s">
        <v>15</v>
      </c>
    </row>
    <row r="2" spans="1:2" x14ac:dyDescent="0.25">
      <c r="A2" s="4">
        <v>11</v>
      </c>
      <c r="B2" s="3" t="s">
        <v>16</v>
      </c>
    </row>
    <row r="3" spans="1:2" x14ac:dyDescent="0.25">
      <c r="A3" s="4">
        <v>12</v>
      </c>
      <c r="B3" s="3" t="s">
        <v>16</v>
      </c>
    </row>
    <row r="4" spans="1:2" x14ac:dyDescent="0.25">
      <c r="A4" s="4">
        <v>13</v>
      </c>
      <c r="B4" s="3" t="s">
        <v>16</v>
      </c>
    </row>
    <row r="5" spans="1:2" x14ac:dyDescent="0.25">
      <c r="A5" s="4">
        <v>14</v>
      </c>
      <c r="B5" s="3" t="s">
        <v>16</v>
      </c>
    </row>
    <row r="6" spans="1:2" x14ac:dyDescent="0.25">
      <c r="A6" s="4">
        <v>15</v>
      </c>
      <c r="B6" s="3" t="s">
        <v>16</v>
      </c>
    </row>
    <row r="7" spans="1:2" x14ac:dyDescent="0.25">
      <c r="A7" s="4">
        <v>16</v>
      </c>
      <c r="B7" s="3" t="s">
        <v>16</v>
      </c>
    </row>
    <row r="8" spans="1:2" x14ac:dyDescent="0.25">
      <c r="A8" s="4">
        <v>17</v>
      </c>
      <c r="B8" s="3" t="s">
        <v>16</v>
      </c>
    </row>
    <row r="9" spans="1:2" x14ac:dyDescent="0.25">
      <c r="A9" s="4">
        <v>18</v>
      </c>
      <c r="B9" s="3" t="s">
        <v>16</v>
      </c>
    </row>
    <row r="10" spans="1:2" x14ac:dyDescent="0.25">
      <c r="A10" s="4">
        <v>19</v>
      </c>
      <c r="B10" s="3" t="s">
        <v>16</v>
      </c>
    </row>
    <row r="11" spans="1:2" x14ac:dyDescent="0.25">
      <c r="A11" s="4">
        <v>21</v>
      </c>
      <c r="B11" s="3" t="s">
        <v>17</v>
      </c>
    </row>
    <row r="12" spans="1:2" x14ac:dyDescent="0.25">
      <c r="A12" s="4">
        <v>22</v>
      </c>
      <c r="B12" s="3" t="s">
        <v>18</v>
      </c>
    </row>
    <row r="13" spans="1:2" x14ac:dyDescent="0.25">
      <c r="A13" s="4">
        <v>24</v>
      </c>
      <c r="B13" s="3" t="s">
        <v>19</v>
      </c>
    </row>
    <row r="14" spans="1:2" x14ac:dyDescent="0.25">
      <c r="A14" s="4">
        <v>27</v>
      </c>
      <c r="B14" s="3" t="s">
        <v>20</v>
      </c>
    </row>
    <row r="15" spans="1:2" x14ac:dyDescent="0.25">
      <c r="A15" s="4">
        <v>28</v>
      </c>
      <c r="B15" s="3" t="s">
        <v>21</v>
      </c>
    </row>
    <row r="16" spans="1:2" x14ac:dyDescent="0.25">
      <c r="A16" s="4">
        <v>33</v>
      </c>
      <c r="B16" s="3" t="s">
        <v>22</v>
      </c>
    </row>
    <row r="17" spans="1:2" x14ac:dyDescent="0.25">
      <c r="A17" s="4">
        <v>34</v>
      </c>
      <c r="B17" s="3" t="s">
        <v>23</v>
      </c>
    </row>
    <row r="18" spans="1:2" x14ac:dyDescent="0.25">
      <c r="A18" s="4">
        <v>35</v>
      </c>
      <c r="B18" s="3" t="s">
        <v>23</v>
      </c>
    </row>
    <row r="19" spans="1:2" x14ac:dyDescent="0.25">
      <c r="A19" s="4">
        <v>37</v>
      </c>
      <c r="B19" s="49" t="s">
        <v>56</v>
      </c>
    </row>
    <row r="20" spans="1:2" x14ac:dyDescent="0.25">
      <c r="A20" s="4">
        <v>41</v>
      </c>
      <c r="B20" s="3" t="s">
        <v>24</v>
      </c>
    </row>
    <row r="21" spans="1:2" x14ac:dyDescent="0.25">
      <c r="A21" s="4">
        <v>42</v>
      </c>
      <c r="B21" s="3" t="s">
        <v>25</v>
      </c>
    </row>
    <row r="22" spans="1:2" x14ac:dyDescent="0.25">
      <c r="A22" s="4">
        <v>43</v>
      </c>
      <c r="B22" s="3" t="s">
        <v>26</v>
      </c>
    </row>
    <row r="23" spans="1:2" x14ac:dyDescent="0.25">
      <c r="A23" s="4">
        <v>52</v>
      </c>
      <c r="B23" s="3" t="s">
        <v>27</v>
      </c>
    </row>
    <row r="24" spans="1:2" x14ac:dyDescent="0.25">
      <c r="A24" s="4">
        <v>53</v>
      </c>
      <c r="B24" s="3" t="s">
        <v>28</v>
      </c>
    </row>
    <row r="25" spans="1:2" x14ac:dyDescent="0.25">
      <c r="A25" s="4">
        <v>54</v>
      </c>
      <c r="B25" s="3" t="s">
        <v>28</v>
      </c>
    </row>
    <row r="26" spans="1:2" x14ac:dyDescent="0.25">
      <c r="A26" s="4">
        <v>61</v>
      </c>
      <c r="B26" s="3" t="s">
        <v>29</v>
      </c>
    </row>
    <row r="27" spans="1:2" x14ac:dyDescent="0.25">
      <c r="A27" s="4">
        <v>62</v>
      </c>
      <c r="B27" s="3" t="s">
        <v>29</v>
      </c>
    </row>
    <row r="28" spans="1:2" x14ac:dyDescent="0.25">
      <c r="A28" s="4">
        <v>63</v>
      </c>
      <c r="B28" s="3" t="s">
        <v>29</v>
      </c>
    </row>
    <row r="29" spans="1:2" x14ac:dyDescent="0.25">
      <c r="A29" s="4">
        <v>64</v>
      </c>
      <c r="B29" s="3" t="s">
        <v>29</v>
      </c>
    </row>
    <row r="30" spans="1:2" x14ac:dyDescent="0.25">
      <c r="A30" s="4">
        <v>65</v>
      </c>
      <c r="B30" s="3" t="s">
        <v>29</v>
      </c>
    </row>
    <row r="31" spans="1:2" x14ac:dyDescent="0.25">
      <c r="A31" s="4">
        <v>66</v>
      </c>
      <c r="B31" s="3" t="s">
        <v>29</v>
      </c>
    </row>
    <row r="32" spans="1:2" x14ac:dyDescent="0.25">
      <c r="A32" s="4">
        <v>67</v>
      </c>
      <c r="B32" s="3" t="s">
        <v>29</v>
      </c>
    </row>
    <row r="33" spans="1:2" x14ac:dyDescent="0.25">
      <c r="A33" s="4">
        <v>70</v>
      </c>
      <c r="B33" s="3" t="s">
        <v>30</v>
      </c>
    </row>
    <row r="34" spans="1:2" x14ac:dyDescent="0.25">
      <c r="A34" s="4">
        <v>72</v>
      </c>
      <c r="B34" s="3" t="s">
        <v>31</v>
      </c>
    </row>
    <row r="35" spans="1:2" x14ac:dyDescent="0.25">
      <c r="A35" s="4">
        <v>73</v>
      </c>
      <c r="B35" s="3" t="s">
        <v>32</v>
      </c>
    </row>
    <row r="36" spans="1:2" x14ac:dyDescent="0.25">
      <c r="A36" s="4">
        <v>75</v>
      </c>
      <c r="B36" s="3" t="s">
        <v>33</v>
      </c>
    </row>
    <row r="37" spans="1:2" x14ac:dyDescent="0.25">
      <c r="A37" s="4">
        <v>76</v>
      </c>
      <c r="B37" s="3" t="s">
        <v>34</v>
      </c>
    </row>
    <row r="38" spans="1:2" x14ac:dyDescent="0.25">
      <c r="A38" s="4">
        <v>77</v>
      </c>
      <c r="B38" s="3" t="s">
        <v>35</v>
      </c>
    </row>
    <row r="39" spans="1:2" x14ac:dyDescent="0.25">
      <c r="A39" s="4">
        <v>79</v>
      </c>
      <c r="B3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AU-Stock Supported</vt:lpstr>
      <vt:lpstr>AU-Made to Order</vt:lpstr>
      <vt:lpstr>NZ- Stock Supported</vt:lpstr>
      <vt:lpstr>NZ- MTO</vt:lpstr>
      <vt:lpstr>Plants</vt:lpstr>
      <vt:lpstr>'AU-Made to Order'!Print_Titles</vt:lpstr>
      <vt:lpstr>'AU-Stock Supported'!Print_Titles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mswarris</dc:creator>
  <cp:lastModifiedBy>Rajeev Malhotra</cp:lastModifiedBy>
  <cp:lastPrinted>2022-03-02T23:48:39Z</cp:lastPrinted>
  <dcterms:created xsi:type="dcterms:W3CDTF">2022-03-02T03:26:49Z</dcterms:created>
  <dcterms:modified xsi:type="dcterms:W3CDTF">2026-04-29T00:58:26Z</dcterms:modified>
</cp:coreProperties>
</file>