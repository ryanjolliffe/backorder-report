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nau-my.sharepoint.com/personal/ryan_jolliffe_linenau_com/Documents/Documents/!Inventory/Backorder Reports/"/>
    </mc:Choice>
  </mc:AlternateContent>
  <xr:revisionPtr revIDLastSave="0" documentId="8_{9B14E7E7-89B4-424F-A4BB-B91945B29549}" xr6:coauthVersionLast="47" xr6:coauthVersionMax="47" xr10:uidLastSave="{00000000-0000-0000-0000-000000000000}"/>
  <bookViews>
    <workbookView xWindow="23880" yWindow="-3915" windowWidth="38640" windowHeight="21390" tabRatio="761" activeTab="1" xr2:uid="{00000000-000D-0000-FFFF-FFFF00000000}"/>
  </bookViews>
  <sheets>
    <sheet name="AU-Stock Supported" sheetId="1" r:id="rId1"/>
    <sheet name="AU-Made to Order" sheetId="2" r:id="rId2"/>
    <sheet name="NZ- Stock Supported" sheetId="5" state="hidden" r:id="rId3"/>
    <sheet name="NZ- MTO" sheetId="6" state="hidden" r:id="rId4"/>
    <sheet name="Plants" sheetId="3" r:id="rId5"/>
  </sheets>
  <definedNames>
    <definedName name="_xlnm._FilterDatabase" localSheetId="1" hidden="1">'AU-Made to Order'!$A$2:$Q$45</definedName>
    <definedName name="_xlnm._FilterDatabase" localSheetId="0" hidden="1">'AU-Stock Supported'!$A$2:$R$3</definedName>
    <definedName name="_xlnm._FilterDatabase" localSheetId="3" hidden="1">'NZ- MTO'!$A$2:$O$53</definedName>
    <definedName name="_xlnm._FilterDatabase" localSheetId="2" hidden="1">'NZ- Stock Supported'!$A$2:$O$14</definedName>
    <definedName name="_xlnm.Print_Titles" localSheetId="1">'AU-Made to Order'!$2:$2</definedName>
    <definedName name="_xlnm.Print_Titles" localSheetId="0">'AU-Stock Supported'!$2:$2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1" i="2" l="1"/>
  <c r="A7" i="2" l="1"/>
  <c r="A37" i="2"/>
  <c r="A3" i="2"/>
  <c r="A27" i="2"/>
  <c r="A31" i="2"/>
  <c r="A41" i="2"/>
  <c r="A16" i="2"/>
  <c r="A19" i="2"/>
  <c r="A14" i="2"/>
  <c r="A34" i="2"/>
  <c r="A43" i="2"/>
  <c r="A39" i="2"/>
  <c r="A29" i="2"/>
  <c r="A45" i="2"/>
  <c r="A17" i="2"/>
  <c r="A33" i="2"/>
  <c r="A24" i="2"/>
  <c r="A4" i="2"/>
  <c r="A38" i="2"/>
  <c r="A28" i="2"/>
  <c r="A9" i="2"/>
  <c r="A30" i="2"/>
  <c r="A23" i="2"/>
  <c r="A26" i="2" l="1"/>
  <c r="A6" i="2"/>
  <c r="A35" i="2"/>
  <c r="A42" i="2"/>
  <c r="A22" i="2"/>
  <c r="A40" i="2"/>
  <c r="A13" i="2"/>
  <c r="A25" i="2"/>
  <c r="A5" i="2"/>
  <c r="A15" i="2"/>
  <c r="A8" i="2"/>
  <c r="A11" i="2"/>
  <c r="A21" i="2"/>
  <c r="A36" i="2"/>
  <c r="A10" i="2"/>
  <c r="A12" i="2" l="1"/>
  <c r="A32" i="2"/>
  <c r="A44" i="2"/>
  <c r="L1" i="6"/>
  <c r="L1" i="5"/>
  <c r="A18" i="2"/>
  <c r="A20" i="2"/>
  <c r="A3" i="1"/>
</calcChain>
</file>

<file path=xl/sharedStrings.xml><?xml version="1.0" encoding="utf-8"?>
<sst xmlns="http://schemas.openxmlformats.org/spreadsheetml/2006/main" count="745" uniqueCount="227">
  <si>
    <t>Stock Type</t>
  </si>
  <si>
    <t>Simba Ref#</t>
  </si>
  <si>
    <t>Branch #</t>
  </si>
  <si>
    <t>Ordered Qty</t>
  </si>
  <si>
    <t>Invoiced Qty</t>
  </si>
  <si>
    <t>% Delivered</t>
  </si>
  <si>
    <t>Backorder Qty</t>
  </si>
  <si>
    <t>On Pick Qty</t>
  </si>
  <si>
    <t>Backorder $</t>
  </si>
  <si>
    <t>Comments</t>
  </si>
  <si>
    <t>MTO</t>
  </si>
  <si>
    <t>PO Ref#</t>
  </si>
  <si>
    <t>Sell Price $</t>
  </si>
  <si>
    <t>Plant</t>
  </si>
  <si>
    <t>Code</t>
  </si>
  <si>
    <t>Branch</t>
  </si>
  <si>
    <t>Northcote</t>
  </si>
  <si>
    <t>Punchbowl</t>
  </si>
  <si>
    <t>North Rocks</t>
  </si>
  <si>
    <t>Somersby</t>
  </si>
  <si>
    <t>Bathurst</t>
  </si>
  <si>
    <t>Paramatta</t>
  </si>
  <si>
    <t>Albury</t>
  </si>
  <si>
    <t>Dandenong</t>
  </si>
  <si>
    <t>Darra Linen</t>
  </si>
  <si>
    <t>Darra Garments</t>
  </si>
  <si>
    <t>Darwin NT</t>
  </si>
  <si>
    <t>SA Linen</t>
  </si>
  <si>
    <t>SA Garments</t>
  </si>
  <si>
    <t>Murdoch Garments</t>
  </si>
  <si>
    <t>Tasmania</t>
  </si>
  <si>
    <t>Bunbury WA</t>
  </si>
  <si>
    <t>ACT</t>
  </si>
  <si>
    <t>Rosebery</t>
  </si>
  <si>
    <t>Coffs</t>
  </si>
  <si>
    <t>Murdoch Linen</t>
  </si>
  <si>
    <t>Belmont WA</t>
  </si>
  <si>
    <t>Product Code</t>
  </si>
  <si>
    <t>Product</t>
  </si>
  <si>
    <t>Date of PO</t>
  </si>
  <si>
    <t>ETA                           (Mel Warehouse)</t>
  </si>
  <si>
    <t>PO Ref</t>
  </si>
  <si>
    <t xml:space="preserve">Comments                                                                   </t>
  </si>
  <si>
    <t>Demand Exceeding Forecast</t>
  </si>
  <si>
    <t>Total</t>
  </si>
  <si>
    <t>Back order Report - Stock Supported</t>
  </si>
  <si>
    <t>Customer Name</t>
  </si>
  <si>
    <t>Input Date</t>
  </si>
  <si>
    <t>Cust PO #</t>
  </si>
  <si>
    <t>Display Name</t>
  </si>
  <si>
    <t>% of Stock Delivered</t>
  </si>
  <si>
    <t>Item Price</t>
  </si>
  <si>
    <t>$</t>
  </si>
  <si>
    <t>Stock Group</t>
  </si>
  <si>
    <t>Estimated Delivery Date</t>
  </si>
  <si>
    <t>Back order Report - MTO</t>
  </si>
  <si>
    <t>Truganina</t>
  </si>
  <si>
    <t>SS</t>
  </si>
  <si>
    <t>BSR</t>
  </si>
  <si>
    <t>PT CHEV</t>
  </si>
  <si>
    <t>CMT</t>
  </si>
  <si>
    <t>NELSON</t>
  </si>
  <si>
    <t>P0586772513</t>
  </si>
  <si>
    <t>BABY NIGHTDRESS FLANNELETTE WHITE</t>
  </si>
  <si>
    <t/>
  </si>
  <si>
    <t>OMNI</t>
  </si>
  <si>
    <t>INDENT</t>
  </si>
  <si>
    <t>RSS</t>
  </si>
  <si>
    <t>Stock Type (Prposed)</t>
  </si>
  <si>
    <t>4316893</t>
  </si>
  <si>
    <t>SO00337753</t>
  </si>
  <si>
    <t>1CW4XL-4XL</t>
  </si>
  <si>
    <t>WHITE COVERALLS - 4XL - ELASTIC ON WRIST &amp; ANKLE NO HOOD</t>
  </si>
  <si>
    <t>4317600</t>
  </si>
  <si>
    <t>SO00337536</t>
  </si>
  <si>
    <t>CHI-STEM-SO8NZ</t>
  </si>
  <si>
    <t>IHG 80/20 PLAIN PILLOWCASE STD - EMB SOFT</t>
  </si>
  <si>
    <t>CHI-STEM-FI8NZ</t>
  </si>
  <si>
    <t>IHG 80/20 PLAIN PILLOWCASE STD  - EMB FIRM</t>
  </si>
  <si>
    <t>4318395</t>
  </si>
  <si>
    <t>SO00338719</t>
  </si>
  <si>
    <t>P0586765010</t>
  </si>
  <si>
    <t>GOWN ALL PURPOSE GREEN M MO108</t>
  </si>
  <si>
    <t>SO00339183</t>
  </si>
  <si>
    <t>4318681</t>
  </si>
  <si>
    <t>SO00339184</t>
  </si>
  <si>
    <t>P0586793211</t>
  </si>
  <si>
    <t>DRAW SHEET PASTEL GREEN 85X186CM (NO LABELS)</t>
  </si>
  <si>
    <t>P0586832767</t>
  </si>
  <si>
    <t>DRESS GUARD PASTEL GREEN 44X55CM (NO LABELS)</t>
  </si>
  <si>
    <t>P0586852741</t>
  </si>
  <si>
    <t>SPINAL SHEET DOUBLE THICKNESS PASTEL GREEN</t>
  </si>
  <si>
    <t>TBC</t>
  </si>
  <si>
    <t>4318685</t>
  </si>
  <si>
    <t>1CW5XL-5XL</t>
  </si>
  <si>
    <t>WHITE COVERALLS - 5XL - ELASTIC ON WRIST &amp; ANKLE NO HOOD</t>
  </si>
  <si>
    <t>1CW6XL-6XL</t>
  </si>
  <si>
    <t>WHITE COVERALLS - 6XL - ELASTIC ON WRIST &amp; ANKLE NO HOOD</t>
  </si>
  <si>
    <t>4319618</t>
  </si>
  <si>
    <t>SO00340821</t>
  </si>
  <si>
    <t>P99802</t>
  </si>
  <si>
    <t>BT COVER</t>
  </si>
  <si>
    <t>SO00339185</t>
  </si>
  <si>
    <t>P0586765911-TGP</t>
  </si>
  <si>
    <t>CLOTHING PROTECTOR TIE BLUE 50X80CM - TGP</t>
  </si>
  <si>
    <t>4319314</t>
  </si>
  <si>
    <t>SO00340372</t>
  </si>
  <si>
    <t>4319038</t>
  </si>
  <si>
    <t>SO00339741</t>
  </si>
  <si>
    <t>P0586773039</t>
  </si>
  <si>
    <t>THEATRE TOWEL PASTEL GREEN 72X90CM (NO LABELS)</t>
  </si>
  <si>
    <t>4319077</t>
  </si>
  <si>
    <t>SO00339828</t>
  </si>
  <si>
    <t>P99400617</t>
  </si>
  <si>
    <t>SHEET FLAT TAYLORS WHITE SUPER KING 70/30 320X300CM 12PK</t>
  </si>
  <si>
    <t>4319460</t>
  </si>
  <si>
    <t>SO00340545</t>
  </si>
  <si>
    <t>P0586765027</t>
  </si>
  <si>
    <t>GOWN ALL PURPOSE GREEN XL MO108</t>
  </si>
  <si>
    <t>P99209401</t>
  </si>
  <si>
    <t>MOMIE NAPKIN WHITE 53X51CM (250/CTN)</t>
  </si>
  <si>
    <t>P0586814190</t>
  </si>
  <si>
    <t>PYJAMA COAT KIDS CHINA BLUE SIZE 6 (YELLOW)</t>
  </si>
  <si>
    <t>P0586814206</t>
  </si>
  <si>
    <t>PYJAMA COAT KIDS CHINA BLUE SIZE 8 (BROWN)</t>
  </si>
  <si>
    <t>P0586814213</t>
  </si>
  <si>
    <t>PYJAMA PANT KIDS CHINA BLUE SIZE 6 (YELLOW)</t>
  </si>
  <si>
    <t>P0586814220</t>
  </si>
  <si>
    <t>PYJAMA PANT KIDS CHINA BLUE SIZE 8 (BROWN)</t>
  </si>
  <si>
    <t>P0586789993</t>
  </si>
  <si>
    <t>PYJAMA COAT KIDS CHINA BLUE SIZE 4 (GREEN)</t>
  </si>
  <si>
    <t>P99819</t>
  </si>
  <si>
    <t>SIDE SHEETS</t>
  </si>
  <si>
    <t>P99847</t>
  </si>
  <si>
    <t>LITHO LEGGING</t>
  </si>
  <si>
    <t>P0586765028</t>
  </si>
  <si>
    <t>GOWN ALL PURPOSE GREEN/GREY 3XL (PURPLE)</t>
  </si>
  <si>
    <t>P0586765029</t>
  </si>
  <si>
    <t>GOWN ALL PURPOSE GREEN/GREY 6XL (PINK)</t>
  </si>
  <si>
    <t>SO00341448</t>
  </si>
  <si>
    <t>P9940007</t>
  </si>
  <si>
    <t>TABLECLOTH DESIGNER PLAIN WHITE 137X137CM (40/CTN)</t>
  </si>
  <si>
    <t>P9940009</t>
  </si>
  <si>
    <t>TABLECLOTH DESIGNER PLAIN WHITE 137X244CM (20/CTN)</t>
  </si>
  <si>
    <t>4320080</t>
  </si>
  <si>
    <t>SO00341503</t>
  </si>
  <si>
    <t>P0586867820-TGP</t>
  </si>
  <si>
    <t>SHEET FLAT HOSPITAL GREEN PRINT LONG SINGLE 177X305CM - TGP</t>
  </si>
  <si>
    <t>SO00337498</t>
  </si>
  <si>
    <t>SO00341516</t>
  </si>
  <si>
    <t>P0014326237</t>
  </si>
  <si>
    <t>KINGDOM SHEET - 50/50 KING SINGLE FITTED WHITE 110X203+35CM 127GSM</t>
  </si>
  <si>
    <t>New Demand plan to be provided from Taylors</t>
  </si>
  <si>
    <t>SO00341320</t>
  </si>
  <si>
    <t>Made to Order - 16/02</t>
  </si>
  <si>
    <t>P99838</t>
  </si>
  <si>
    <t>SPLIT SHEET</t>
  </si>
  <si>
    <t>P0014299265</t>
  </si>
  <si>
    <t>REGAL SHEET - 80/20 PILLOWCASE LODGE 55X92+20CM 127GSM</t>
  </si>
  <si>
    <t>4320121</t>
  </si>
  <si>
    <t>SO00341602</t>
  </si>
  <si>
    <t>1CW3XL-3XL</t>
  </si>
  <si>
    <t>WHITE COVERALLS - 3XL - ELASTIC ON WRIST &amp; ANKLE NO HOOD</t>
  </si>
  <si>
    <t>1CWL-LARGE</t>
  </si>
  <si>
    <t>WHITE COVERALLS - LARGE - ELASTIC ON WRIST &amp; ANKLE NO HOOD</t>
  </si>
  <si>
    <t>1CWM-MEDIUM</t>
  </si>
  <si>
    <t>WHITE COVERALLS - MEDIUM - ELASTIC ON WRIST &amp; ANKLE NO HOOD</t>
  </si>
  <si>
    <t>1CWS-SMALL</t>
  </si>
  <si>
    <t>WHITE COVERALLS - SMALL - ELASTIC ON WRIST &amp; ANKLE NO HOOD</t>
  </si>
  <si>
    <t>1CWXL-XL</t>
  </si>
  <si>
    <t>WHITE COVERALLS - XL - ELASTIC ON WRIST &amp; ANKLE NO HOOD</t>
  </si>
  <si>
    <t>4315892</t>
  </si>
  <si>
    <t>SO00334558</t>
  </si>
  <si>
    <t>4316507</t>
  </si>
  <si>
    <t>SO00335439</t>
  </si>
  <si>
    <t>1CW2XL-2XL</t>
  </si>
  <si>
    <t>WHITE COVERALLS - 2XL - ELASTIC ON WRIST &amp; ANKLE NO HOOD</t>
  </si>
  <si>
    <t>QUEEN BED FLAT SHEET 250X305 #11030 WITH RFID</t>
  </si>
  <si>
    <t>GOWN UTILITY WH LS 1749 RFID INVENGO CHIP</t>
  </si>
  <si>
    <t>WRAP FLANNELETTE 7359 RFID INVENGO CHIP</t>
  </si>
  <si>
    <t>T SHIRT BABY 8136 RFID INVENGO CHIP</t>
  </si>
  <si>
    <t>GOWN BLUE STUD SHOULDER (13213 WITH RFID)</t>
  </si>
  <si>
    <t>GOWN PC STUD SHLD/CHEST GREEN</t>
  </si>
  <si>
    <t>22165</t>
  </si>
  <si>
    <t>SO00371698</t>
  </si>
  <si>
    <t>HUCK TWL GREEN 60x90</t>
  </si>
  <si>
    <t>22602</t>
  </si>
  <si>
    <t>SO00373156</t>
  </si>
  <si>
    <t>SO00373816</t>
  </si>
  <si>
    <t>22866</t>
  </si>
  <si>
    <t>SO00373912</t>
  </si>
  <si>
    <t>22900</t>
  </si>
  <si>
    <t>SO00374090</t>
  </si>
  <si>
    <t>DRAPE GREEN 135X120</t>
  </si>
  <si>
    <t>23050 &amp; 21937</t>
  </si>
  <si>
    <t>SO00374474</t>
  </si>
  <si>
    <t>BAG POLY LINEN BLUE ZIP 37X37X75</t>
  </si>
  <si>
    <t>SHEET PROC PC BLUE 50X140 RFID</t>
  </si>
  <si>
    <t>SHEET WHITE C28 PAT 1661 RFID INVENGO CHIP</t>
  </si>
  <si>
    <t>SO00374091</t>
  </si>
  <si>
    <t>COAT PYJ GREEN XL/43 4576 RFID  INVENGO CHIP</t>
  </si>
  <si>
    <t>PYJAMA PANT SUMMER/6 5572 RFID INVENGO CHIP</t>
  </si>
  <si>
    <t>22899</t>
  </si>
  <si>
    <t>SO00374088</t>
  </si>
  <si>
    <t>23049</t>
  </si>
  <si>
    <t>SO00374473</t>
  </si>
  <si>
    <t>SOCK COTTON HB WHITE (EACH) FSH RFID 7351 INVENGO CHIP</t>
  </si>
  <si>
    <t>GOWN P/C PATIENT NAVY OBESE SS PC #10972 WITH RFID</t>
  </si>
  <si>
    <t>TOP PYJAMA 2XL MAROON PC#11395 RFID</t>
  </si>
  <si>
    <t>23050</t>
  </si>
  <si>
    <t>SO00374564</t>
  </si>
  <si>
    <t>PANT PYJAMA ADULT BLUE PC# 11396 WITH RFID</t>
  </si>
  <si>
    <t>TOP PYJAMA ADULT BLUE PC#11397 WITH RFID</t>
  </si>
  <si>
    <t>23290</t>
  </si>
  <si>
    <t>SO00375233</t>
  </si>
  <si>
    <t>SO00375234</t>
  </si>
  <si>
    <t>CLOTH PRIVACY CT WH 60X60 RFID</t>
  </si>
  <si>
    <t>PANT PYJ SAND LGE/41 4180 RFID INVENGO CHIP</t>
  </si>
  <si>
    <t>PYJAMA PANTS TEAL SIZE AL/43 PC #4577 WITH RFID</t>
  </si>
  <si>
    <t>PANT PJYAMA 2XL MAROON PC # 11934 WITH RFID</t>
  </si>
  <si>
    <t>SO00375629</t>
  </si>
  <si>
    <t>23576</t>
  </si>
  <si>
    <t>SO00375951</t>
  </si>
  <si>
    <t>23577</t>
  </si>
  <si>
    <t>SO00375947</t>
  </si>
  <si>
    <t>Dressing Gown G18 Blue &amp; white Stripe RFID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</si>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</sst>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%;\-0%;0%"/>
    <numFmt numFmtId="165" formatCode="[$-C09]dd\-mmm\-yy;@"/>
    <numFmt numFmtId="166" formatCode="&quot;$&quot;#,##0.00"/>
    <numFmt numFmtId="167" formatCode="&quot;$&quot;#,##0"/>
    <numFmt numFmtId="168" formatCode="\$#,##0;\(\$#,##0\);\$#,##0"/>
  </numFmts>
  <fonts count="21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sz val="11"/>
      <name val="Aptos Narrow"/>
      <family val="2"/>
    </font>
    <font>
      <sz val="1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10"/>
      <name val="Calibri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5" fillId="0" borderId="0"/>
    <xf numFmtId="0" fontId="17" fillId="0" borderId="0"/>
    <xf numFmtId="0" fontId="18" fillId="0" borderId="0"/>
    <xf numFmtId="0" fontId="20" fillId="0" borderId="0"/>
  </cellStyleXfs>
  <cellXfs count="89">
    <xf numFmtId="0" fontId="0" fillId="0" borderId="0" xfId="0"/>
    <xf numFmtId="0" fontId="4" fillId="0" borderId="0" xfId="2" applyFont="1" applyAlignment="1">
      <alignment horizontal="center"/>
    </xf>
    <xf numFmtId="0" fontId="4" fillId="0" borderId="0" xfId="2" applyFont="1"/>
    <xf numFmtId="0" fontId="2" fillId="0" borderId="0" xfId="2"/>
    <xf numFmtId="0" fontId="2" fillId="0" borderId="0" xfId="2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6" fontId="7" fillId="3" borderId="1" xfId="1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12" fillId="0" borderId="0" xfId="6" applyFont="1" applyAlignment="1">
      <alignment horizontal="left" vertical="center" indent="1"/>
    </xf>
    <xf numFmtId="14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/>
    <xf numFmtId="0" fontId="13" fillId="0" borderId="0" xfId="6" applyFont="1" applyAlignment="1">
      <alignment horizontal="center" vertical="center"/>
    </xf>
    <xf numFmtId="168" fontId="13" fillId="0" borderId="0" xfId="6" applyNumberFormat="1" applyFont="1" applyAlignment="1">
      <alignment horizontal="center" vertical="center"/>
    </xf>
    <xf numFmtId="0" fontId="7" fillId="4" borderId="1" xfId="6" applyFont="1" applyFill="1" applyBorder="1" applyAlignment="1">
      <alignment horizontal="center" vertical="center" wrapText="1"/>
    </xf>
    <xf numFmtId="14" fontId="7" fillId="4" borderId="1" xfId="6" applyNumberFormat="1" applyFont="1" applyFill="1" applyBorder="1" applyAlignment="1">
      <alignment horizontal="center" vertical="center" wrapText="1"/>
    </xf>
    <xf numFmtId="0" fontId="6" fillId="0" borderId="0" xfId="6" applyFont="1" applyAlignment="1">
      <alignment wrapText="1"/>
    </xf>
    <xf numFmtId="0" fontId="6" fillId="0" borderId="1" xfId="6" applyFont="1" applyBorder="1" applyAlignment="1">
      <alignment horizontal="center"/>
    </xf>
    <xf numFmtId="14" fontId="6" fillId="0" borderId="1" xfId="6" applyNumberFormat="1" applyFont="1" applyBorder="1" applyAlignment="1">
      <alignment horizontal="center"/>
    </xf>
    <xf numFmtId="0" fontId="6" fillId="0" borderId="1" xfId="6" applyFont="1" applyBorder="1"/>
    <xf numFmtId="1" fontId="6" fillId="0" borderId="1" xfId="6" applyNumberFormat="1" applyFont="1" applyBorder="1" applyAlignment="1">
      <alignment horizontal="center"/>
    </xf>
    <xf numFmtId="164" fontId="6" fillId="0" borderId="1" xfId="6" applyNumberFormat="1" applyFont="1" applyBorder="1" applyAlignment="1">
      <alignment horizontal="center"/>
    </xf>
    <xf numFmtId="168" fontId="6" fillId="0" borderId="1" xfId="6" applyNumberFormat="1" applyFont="1" applyBorder="1" applyAlignment="1">
      <alignment horizontal="center"/>
    </xf>
    <xf numFmtId="14" fontId="6" fillId="5" borderId="1" xfId="6" applyNumberFormat="1" applyFont="1" applyFill="1" applyBorder="1" applyAlignment="1">
      <alignment horizontal="center"/>
    </xf>
    <xf numFmtId="0" fontId="14" fillId="0" borderId="1" xfId="6" applyFont="1" applyBorder="1"/>
    <xf numFmtId="0" fontId="7" fillId="6" borderId="1" xfId="6" applyFont="1" applyFill="1" applyBorder="1" applyAlignment="1">
      <alignment horizontal="center" vertical="center" wrapText="1"/>
    </xf>
    <xf numFmtId="14" fontId="7" fillId="6" borderId="1" xfId="6" applyNumberFormat="1" applyFont="1" applyFill="1" applyBorder="1" applyAlignment="1">
      <alignment horizontal="center" vertical="center" wrapText="1"/>
    </xf>
    <xf numFmtId="166" fontId="13" fillId="0" borderId="0" xfId="6" applyNumberFormat="1" applyFont="1" applyAlignment="1">
      <alignment horizontal="center" vertical="center"/>
    </xf>
    <xf numFmtId="166" fontId="7" fillId="4" borderId="1" xfId="6" applyNumberFormat="1" applyFont="1" applyFill="1" applyBorder="1" applyAlignment="1">
      <alignment horizontal="center" vertical="center" wrapText="1"/>
    </xf>
    <xf numFmtId="166" fontId="6" fillId="0" borderId="1" xfId="6" applyNumberFormat="1" applyFont="1" applyBorder="1" applyAlignment="1">
      <alignment horizontal="center"/>
    </xf>
    <xf numFmtId="166" fontId="6" fillId="0" borderId="0" xfId="6" applyNumberFormat="1" applyFont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67" fontId="7" fillId="3" borderId="1" xfId="1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14" fontId="6" fillId="5" borderId="1" xfId="6" applyNumberFormat="1" applyFont="1" applyFill="1" applyBorder="1" applyAlignment="1">
      <alignment horizontal="left"/>
    </xf>
    <xf numFmtId="165" fontId="8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indent="1"/>
    </xf>
    <xf numFmtId="1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166" fontId="19" fillId="0" borderId="0" xfId="0" applyNumberFormat="1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 indent="1"/>
    </xf>
    <xf numFmtId="3" fontId="19" fillId="2" borderId="1" xfId="0" applyNumberFormat="1" applyFont="1" applyFill="1" applyBorder="1" applyAlignment="1">
      <alignment horizontal="center" vertical="center" wrapText="1"/>
    </xf>
    <xf numFmtId="9" fontId="19" fillId="2" borderId="1" xfId="0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right"/>
    </xf>
    <xf numFmtId="166" fontId="19" fillId="2" borderId="1" xfId="1" applyNumberFormat="1" applyFont="1" applyFill="1" applyBorder="1" applyAlignment="1">
      <alignment horizontal="right" vertical="center" wrapText="1"/>
    </xf>
    <xf numFmtId="167" fontId="16" fillId="0" borderId="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</cellXfs>
  <cellStyles count="12">
    <cellStyle name="Currency" xfId="1" builtinId="4"/>
    <cellStyle name="Currency 2" xfId="4" xr:uid="{00000000-0005-0000-0000-000031000000}"/>
    <cellStyle name="Normal" xfId="0" builtinId="0"/>
    <cellStyle name="Normal 2" xfId="2" xr:uid="{D299C18A-E3D9-4123-922F-4B9C36E33021}"/>
    <cellStyle name="Normal 2 2" xfId="7" xr:uid="{7BA2CD70-D2B7-472D-A8DE-CF41CCE2936A}"/>
    <cellStyle name="Normal 3" xfId="3" xr:uid="{3AC4828D-7FF0-4E09-85DB-A8C6DADA0EE8}"/>
    <cellStyle name="Normal 4" xfId="6" xr:uid="{00000000-0005-0000-0000-000033000000}"/>
    <cellStyle name="Normal 5" xfId="8" xr:uid="{43B2AAF9-2174-457F-9F2F-A1FA1CB3CE67}"/>
    <cellStyle name="Normal 6" xfId="9" xr:uid="{72D54A89-8357-411B-83C4-A83199385F73}"/>
    <cellStyle name="Normal 7" xfId="10" xr:uid="{5A5A1486-3757-45AA-A67A-2D3247227D3C}"/>
    <cellStyle name="Normal 8" xfId="11" xr:uid="{E8C7A70F-6839-47EE-ABA2-5FCD66170412}"/>
    <cellStyle name="Percent 2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pageSetUpPr fitToPage="1"/>
  </sheetPr>
  <dimension ref="A1:R3"/>
  <sheetViews>
    <sheetView zoomScale="90" zoomScaleNormal="90" workbookViewId="0">
      <pane xSplit="1" ySplit="2" topLeftCell="B3" activePane="bottomRight" state="frozen"/>
      <selection activeCell="C29" sqref="C29"/>
      <selection pane="topRight" activeCell="C29" sqref="C29"/>
      <selection pane="bottomLeft" activeCell="C29" sqref="C29"/>
      <selection pane="bottomRight" activeCell="G12" sqref="G12"/>
    </sheetView>
  </sheetViews>
  <sheetFormatPr defaultColWidth="8.85546875" defaultRowHeight="12.75" x14ac:dyDescent="0.25"/>
  <cols>
    <col min="1" max="1" width="17.140625" style="70" customWidth="1"/>
    <col min="2" max="2" width="8.7109375" style="70" customWidth="1"/>
    <col min="3" max="3" width="11.42578125" style="71" customWidth="1"/>
    <col min="4" max="4" width="8.42578125" style="70" customWidth="1"/>
    <col min="5" max="5" width="12.7109375" style="70" hidden="1" customWidth="1"/>
    <col min="6" max="6" width="9" style="70" customWidth="1"/>
    <col min="7" max="7" width="43.7109375" style="72" customWidth="1"/>
    <col min="8" max="8" width="10.85546875" style="70" customWidth="1"/>
    <col min="9" max="10" width="10.85546875" style="70" hidden="1" customWidth="1"/>
    <col min="11" max="11" width="10.85546875" style="70" customWidth="1"/>
    <col min="12" max="12" width="9.5703125" style="70" customWidth="1"/>
    <col min="13" max="13" width="8.7109375" style="84" customWidth="1"/>
    <col min="14" max="14" width="11.7109375" style="88" customWidth="1"/>
    <col min="15" max="15" width="12.140625" style="71" customWidth="1"/>
    <col min="16" max="16" width="6.7109375" style="70" customWidth="1"/>
    <col min="17" max="17" width="9.7109375" style="70" customWidth="1"/>
    <col min="18" max="18" width="49.7109375" style="74" customWidth="1"/>
    <col min="19" max="16384" width="8.85546875" style="75"/>
  </cols>
  <sheetData>
    <row r="1" spans="1:18" x14ac:dyDescent="0.2">
      <c r="M1" s="73" t="s">
        <v>44</v>
      </c>
      <c r="N1" s="85">
        <f>SUM(N3:N3)</f>
        <v>2472</v>
      </c>
    </row>
    <row r="2" spans="1:18" s="83" customFormat="1" ht="38.25" x14ac:dyDescent="0.25">
      <c r="A2" s="76" t="s">
        <v>13</v>
      </c>
      <c r="B2" s="76" t="s">
        <v>2</v>
      </c>
      <c r="C2" s="77" t="s">
        <v>39</v>
      </c>
      <c r="D2" s="78" t="s">
        <v>41</v>
      </c>
      <c r="E2" s="76" t="s">
        <v>1</v>
      </c>
      <c r="F2" s="18" t="s">
        <v>37</v>
      </c>
      <c r="G2" s="79" t="s">
        <v>38</v>
      </c>
      <c r="H2" s="80" t="s">
        <v>3</v>
      </c>
      <c r="I2" s="80" t="s">
        <v>4</v>
      </c>
      <c r="J2" s="81" t="s">
        <v>5</v>
      </c>
      <c r="K2" s="80" t="s">
        <v>6</v>
      </c>
      <c r="L2" s="80" t="s">
        <v>7</v>
      </c>
      <c r="M2" s="82" t="s">
        <v>12</v>
      </c>
      <c r="N2" s="86" t="s">
        <v>8</v>
      </c>
      <c r="O2" s="19" t="s">
        <v>40</v>
      </c>
      <c r="P2" s="76" t="s">
        <v>0</v>
      </c>
      <c r="Q2" s="76" t="s">
        <v>43</v>
      </c>
      <c r="R2" s="76" t="s">
        <v>42</v>
      </c>
    </row>
    <row r="3" spans="1:18" x14ac:dyDescent="0.25">
      <c r="A3" s="7" t="str">
        <f>VLOOKUP(B3,Plants!$A$2:$B$39,2,0)</f>
        <v>Murdoch Linen</v>
      </c>
      <c r="B3" s="63">
        <v>77</v>
      </c>
      <c r="C3" s="64">
        <v>46056</v>
      </c>
      <c r="D3" s="63" t="s">
        <v>191</v>
      </c>
      <c r="E3" s="63" t="s">
        <v>192</v>
      </c>
      <c r="F3" s="63">
        <v>1728</v>
      </c>
      <c r="G3" s="65" t="s">
        <v>185</v>
      </c>
      <c r="H3" s="66">
        <v>800</v>
      </c>
      <c r="I3" s="66">
        <v>0</v>
      </c>
      <c r="J3" s="67">
        <v>0</v>
      </c>
      <c r="K3" s="66">
        <v>800</v>
      </c>
      <c r="L3" s="66">
        <v>0</v>
      </c>
      <c r="M3" s="68">
        <v>3.09</v>
      </c>
      <c r="N3" s="87">
        <v>2472</v>
      </c>
      <c r="O3" s="64" t="s">
        <v>92</v>
      </c>
      <c r="P3" s="63" t="s">
        <v>57</v>
      </c>
      <c r="Q3" s="63" t="s">
        <v>226</v>
      </c>
      <c r="R3" s="69"/>
    </row>
  </sheetData>
  <autoFilter ref="A2:R3" xr:uid="{D77C2D6C-698D-4BDB-97CD-1C03930C1B8D}"/>
  <sortState xmlns:xlrd2="http://schemas.microsoft.com/office/spreadsheetml/2017/richdata2" ref="A3:R3">
    <sortCondition ref="A3"/>
    <sortCondition ref="C3"/>
    <sortCondition ref="F3"/>
  </sortState>
  <pageMargins left="0.51181102362204722" right="0.35433070866141736" top="0.47244094488188981" bottom="0.47244094488188981" header="0.23622047244094491" footer="0.31496062992125984"/>
  <pageSetup paperSize="8" scale="71" fitToHeight="0" orientation="landscape" r:id="rId1"/>
  <headerFooter>
    <oddHeader>&amp;F</oddHeader>
    <oddFooter>&amp;L&amp;A&amp;C&amp;"Calibri,Bold"Confidential&amp;RPage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Q45"/>
  <sheetViews>
    <sheetView tabSelected="1" zoomScale="90" zoomScaleNormal="90" workbookViewId="0">
      <pane ySplit="2" topLeftCell="A3" activePane="bottomLeft" state="frozen"/>
      <selection pane="bottomLeft" activeCell="B9" sqref="B9"/>
    </sheetView>
  </sheetViews>
  <sheetFormatPr defaultColWidth="8.85546875" defaultRowHeight="12.75" x14ac:dyDescent="0.25"/>
  <cols>
    <col min="1" max="1" width="16.28515625" style="14" customWidth="1"/>
    <col min="2" max="2" width="8.7109375" style="14" customWidth="1"/>
    <col min="3" max="3" width="13" style="15" customWidth="1"/>
    <col min="4" max="4" width="12.7109375" style="14" customWidth="1"/>
    <col min="5" max="5" width="9.5703125" style="13" customWidth="1"/>
    <col min="6" max="6" width="11.140625" style="14" customWidth="1"/>
    <col min="7" max="7" width="50" style="50" customWidth="1"/>
    <col min="8" max="11" width="10.85546875" style="14" customWidth="1"/>
    <col min="12" max="12" width="9.7109375" style="14" customWidth="1"/>
    <col min="13" max="13" width="9.85546875" style="16" customWidth="1"/>
    <col min="14" max="14" width="12.28515625" style="59" customWidth="1"/>
    <col min="15" max="15" width="13.42578125" style="15" customWidth="1"/>
    <col min="16" max="16" width="11.28515625" style="14" customWidth="1"/>
    <col min="17" max="17" width="38.85546875" style="17" customWidth="1"/>
    <col min="18" max="16384" width="8.85546875" style="13"/>
  </cols>
  <sheetData>
    <row r="1" spans="1:17" ht="20.25" customHeight="1" x14ac:dyDescent="0.25">
      <c r="M1" s="51" t="s">
        <v>44</v>
      </c>
      <c r="N1" s="52">
        <f>SUM(N3:N45)</f>
        <v>267664.90000000002</v>
      </c>
      <c r="O1" s="61"/>
      <c r="P1" s="62"/>
    </row>
    <row r="2" spans="1:17" ht="38.25" x14ac:dyDescent="0.25">
      <c r="A2" s="5" t="s">
        <v>13</v>
      </c>
      <c r="B2" s="5" t="s">
        <v>2</v>
      </c>
      <c r="C2" s="6" t="s">
        <v>39</v>
      </c>
      <c r="D2" s="20" t="s">
        <v>11</v>
      </c>
      <c r="E2" s="5" t="s">
        <v>1</v>
      </c>
      <c r="F2" s="21" t="s">
        <v>37</v>
      </c>
      <c r="G2" s="53" t="s">
        <v>38</v>
      </c>
      <c r="H2" s="22" t="s">
        <v>3</v>
      </c>
      <c r="I2" s="22" t="s">
        <v>4</v>
      </c>
      <c r="J2" s="23" t="s">
        <v>5</v>
      </c>
      <c r="K2" s="22" t="s">
        <v>6</v>
      </c>
      <c r="L2" s="22" t="s">
        <v>7</v>
      </c>
      <c r="M2" s="24" t="s">
        <v>12</v>
      </c>
      <c r="N2" s="54" t="s">
        <v>8</v>
      </c>
      <c r="O2" s="25" t="s">
        <v>40</v>
      </c>
      <c r="P2" s="5" t="s">
        <v>68</v>
      </c>
      <c r="Q2" s="5" t="s">
        <v>9</v>
      </c>
    </row>
    <row r="3" spans="1:17" x14ac:dyDescent="0.25">
      <c r="A3" s="7" t="str">
        <f>VLOOKUP(B3,Plants!$A$2:$B$39,2,0)</f>
        <v>Murdoch Linen</v>
      </c>
      <c r="B3" s="7">
        <v>77</v>
      </c>
      <c r="C3" s="8">
        <v>46056</v>
      </c>
      <c r="D3" s="7" t="s">
        <v>191</v>
      </c>
      <c r="E3" s="55" t="s">
        <v>192</v>
      </c>
      <c r="F3" s="7">
        <v>5702</v>
      </c>
      <c r="G3" s="56" t="s">
        <v>193</v>
      </c>
      <c r="H3" s="9">
        <v>500</v>
      </c>
      <c r="I3" s="9">
        <v>0</v>
      </c>
      <c r="J3" s="10">
        <v>0</v>
      </c>
      <c r="K3" s="9">
        <v>500</v>
      </c>
      <c r="L3" s="9">
        <v>0</v>
      </c>
      <c r="M3" s="11">
        <v>3.98</v>
      </c>
      <c r="N3" s="57">
        <v>1990</v>
      </c>
      <c r="O3" s="8">
        <v>46129</v>
      </c>
      <c r="P3" s="7" t="s">
        <v>10</v>
      </c>
      <c r="Q3" s="58"/>
    </row>
    <row r="4" spans="1:17" x14ac:dyDescent="0.25">
      <c r="A4" s="7" t="str">
        <f>VLOOKUP(B4,Plants!$A$2:$B$39,2,0)</f>
        <v>Murdoch Linen</v>
      </c>
      <c r="B4" s="7">
        <v>77</v>
      </c>
      <c r="C4" s="8">
        <v>46000</v>
      </c>
      <c r="D4" s="7" t="s">
        <v>183</v>
      </c>
      <c r="E4" s="55" t="s">
        <v>184</v>
      </c>
      <c r="F4" s="7">
        <v>13214</v>
      </c>
      <c r="G4" s="56" t="s">
        <v>182</v>
      </c>
      <c r="H4" s="9">
        <v>990</v>
      </c>
      <c r="I4" s="9">
        <v>0</v>
      </c>
      <c r="J4" s="10">
        <v>0</v>
      </c>
      <c r="K4" s="9">
        <v>990</v>
      </c>
      <c r="L4" s="9">
        <v>0</v>
      </c>
      <c r="M4" s="11">
        <v>13.34</v>
      </c>
      <c r="N4" s="57">
        <v>13206.6</v>
      </c>
      <c r="O4" s="8">
        <v>46129</v>
      </c>
      <c r="P4" s="7" t="s">
        <v>10</v>
      </c>
      <c r="Q4" s="58"/>
    </row>
    <row r="5" spans="1:17" x14ac:dyDescent="0.25">
      <c r="A5" s="7" t="str">
        <f>VLOOKUP(B5,Plants!$A$2:$B$39,2,0)</f>
        <v>Murdoch Linen</v>
      </c>
      <c r="B5" s="7">
        <v>77</v>
      </c>
      <c r="C5" s="8">
        <v>46056</v>
      </c>
      <c r="D5" s="7" t="s">
        <v>191</v>
      </c>
      <c r="E5" s="55" t="s">
        <v>192</v>
      </c>
      <c r="F5" s="7">
        <v>13214</v>
      </c>
      <c r="G5" s="56" t="s">
        <v>182</v>
      </c>
      <c r="H5" s="9">
        <v>510</v>
      </c>
      <c r="I5" s="9">
        <v>0</v>
      </c>
      <c r="J5" s="10">
        <v>0</v>
      </c>
      <c r="K5" s="9">
        <v>510</v>
      </c>
      <c r="L5" s="9">
        <v>0</v>
      </c>
      <c r="M5" s="11">
        <v>13.34</v>
      </c>
      <c r="N5" s="57">
        <v>6803.4</v>
      </c>
      <c r="O5" s="8">
        <v>46164</v>
      </c>
      <c r="P5" s="7" t="s">
        <v>10</v>
      </c>
      <c r="Q5" s="58"/>
    </row>
    <row r="6" spans="1:17" x14ac:dyDescent="0.25">
      <c r="A6" s="7" t="str">
        <f>VLOOKUP(B6,Plants!$A$2:$B$39,2,0)</f>
        <v>Murdoch Linen</v>
      </c>
      <c r="B6" s="7">
        <v>77</v>
      </c>
      <c r="C6" s="8">
        <v>46091</v>
      </c>
      <c r="D6" s="7" t="s">
        <v>221</v>
      </c>
      <c r="E6" s="55" t="s">
        <v>222</v>
      </c>
      <c r="F6" s="7">
        <v>13214</v>
      </c>
      <c r="G6" s="56" t="s">
        <v>182</v>
      </c>
      <c r="H6" s="9">
        <v>300</v>
      </c>
      <c r="I6" s="9">
        <v>0</v>
      </c>
      <c r="J6" s="10">
        <v>0</v>
      </c>
      <c r="K6" s="9">
        <v>300</v>
      </c>
      <c r="L6" s="9">
        <v>0</v>
      </c>
      <c r="M6" s="11">
        <v>13.34</v>
      </c>
      <c r="N6" s="57">
        <v>4002</v>
      </c>
      <c r="O6" s="8">
        <v>46164</v>
      </c>
      <c r="P6" s="7" t="s">
        <v>10</v>
      </c>
      <c r="Q6" s="58"/>
    </row>
    <row r="7" spans="1:17" x14ac:dyDescent="0.25">
      <c r="A7" s="7" t="str">
        <f>VLOOKUP(B7,Plants!$A$2:$B$39,2,0)</f>
        <v>Murdoch Linen</v>
      </c>
      <c r="B7" s="7">
        <v>77</v>
      </c>
      <c r="C7" s="8">
        <v>46091</v>
      </c>
      <c r="D7" s="7" t="s">
        <v>223</v>
      </c>
      <c r="E7" s="55" t="s">
        <v>224</v>
      </c>
      <c r="F7" s="7">
        <v>13214</v>
      </c>
      <c r="G7" s="56" t="s">
        <v>182</v>
      </c>
      <c r="H7" s="9">
        <v>600</v>
      </c>
      <c r="I7" s="9">
        <v>0</v>
      </c>
      <c r="J7" s="10">
        <v>0</v>
      </c>
      <c r="K7" s="9">
        <v>600</v>
      </c>
      <c r="L7" s="9">
        <v>0</v>
      </c>
      <c r="M7" s="11">
        <v>13.34</v>
      </c>
      <c r="N7" s="57">
        <v>8004</v>
      </c>
      <c r="O7" s="8">
        <v>46164</v>
      </c>
      <c r="P7" s="7" t="s">
        <v>10</v>
      </c>
      <c r="Q7" s="58"/>
    </row>
    <row r="8" spans="1:17" x14ac:dyDescent="0.25">
      <c r="A8" s="7" t="str">
        <f>VLOOKUP(B8,Plants!$A$2:$B$39,2,0)</f>
        <v>Murdoch Linen</v>
      </c>
      <c r="B8" s="7">
        <v>77</v>
      </c>
      <c r="C8" s="8">
        <v>46076</v>
      </c>
      <c r="D8" s="7" t="s">
        <v>213</v>
      </c>
      <c r="E8" s="55" t="s">
        <v>215</v>
      </c>
      <c r="F8" s="7">
        <v>15081</v>
      </c>
      <c r="G8" s="56" t="s">
        <v>216</v>
      </c>
      <c r="H8" s="9">
        <v>350</v>
      </c>
      <c r="I8" s="9">
        <v>0</v>
      </c>
      <c r="J8" s="10">
        <v>0</v>
      </c>
      <c r="K8" s="9">
        <v>350</v>
      </c>
      <c r="L8" s="9">
        <v>0</v>
      </c>
      <c r="M8" s="11">
        <v>3.54</v>
      </c>
      <c r="N8" s="57">
        <v>1239</v>
      </c>
      <c r="O8" s="8">
        <v>46164</v>
      </c>
      <c r="P8" s="7" t="s">
        <v>10</v>
      </c>
      <c r="Q8" s="58"/>
    </row>
    <row r="9" spans="1:17" x14ac:dyDescent="0.25">
      <c r="A9" s="7" t="str">
        <f>VLOOKUP(B9,Plants!$A$2:$B$39,2,0)</f>
        <v>Murdoch Linen</v>
      </c>
      <c r="B9" s="7">
        <v>77</v>
      </c>
      <c r="C9" s="8">
        <v>46056</v>
      </c>
      <c r="D9" s="7" t="s">
        <v>191</v>
      </c>
      <c r="E9" s="55" t="s">
        <v>192</v>
      </c>
      <c r="F9" s="7">
        <v>15083</v>
      </c>
      <c r="G9" s="56" t="s">
        <v>197</v>
      </c>
      <c r="H9" s="9">
        <v>500</v>
      </c>
      <c r="I9" s="9">
        <v>0</v>
      </c>
      <c r="J9" s="10">
        <v>0</v>
      </c>
      <c r="K9" s="9">
        <v>500</v>
      </c>
      <c r="L9" s="9">
        <v>0</v>
      </c>
      <c r="M9" s="11">
        <v>3.44</v>
      </c>
      <c r="N9" s="57">
        <v>1720</v>
      </c>
      <c r="O9" s="8">
        <v>46164</v>
      </c>
      <c r="P9" s="7" t="s">
        <v>10</v>
      </c>
      <c r="Q9" s="58"/>
    </row>
    <row r="10" spans="1:17" x14ac:dyDescent="0.25">
      <c r="A10" s="7" t="str">
        <f>VLOOKUP(B10,Plants!$A$2:$B$39,2,0)</f>
        <v>Murdoch Linen</v>
      </c>
      <c r="B10" s="7">
        <v>77</v>
      </c>
      <c r="C10" s="8">
        <v>46056</v>
      </c>
      <c r="D10" s="7" t="s">
        <v>191</v>
      </c>
      <c r="E10" s="55" t="s">
        <v>192</v>
      </c>
      <c r="F10" s="7">
        <v>15241</v>
      </c>
      <c r="G10" s="56" t="s">
        <v>198</v>
      </c>
      <c r="H10" s="9">
        <v>350</v>
      </c>
      <c r="I10" s="9">
        <v>0</v>
      </c>
      <c r="J10" s="10">
        <v>0</v>
      </c>
      <c r="K10" s="9">
        <v>350</v>
      </c>
      <c r="L10" s="9">
        <v>0</v>
      </c>
      <c r="M10" s="11">
        <v>5.36</v>
      </c>
      <c r="N10" s="57">
        <v>1876</v>
      </c>
      <c r="O10" s="8">
        <v>46157</v>
      </c>
      <c r="P10" s="7" t="s">
        <v>10</v>
      </c>
      <c r="Q10" s="58"/>
    </row>
    <row r="11" spans="1:17" x14ac:dyDescent="0.25">
      <c r="A11" s="7" t="str">
        <f>VLOOKUP(B11,Plants!$A$2:$B$39,2,0)</f>
        <v>Murdoch Linen</v>
      </c>
      <c r="B11" s="7">
        <v>77</v>
      </c>
      <c r="C11" s="8">
        <v>46076</v>
      </c>
      <c r="D11" s="7" t="s">
        <v>213</v>
      </c>
      <c r="E11" s="55" t="s">
        <v>215</v>
      </c>
      <c r="F11" s="7">
        <v>15244</v>
      </c>
      <c r="G11" s="56" t="s">
        <v>217</v>
      </c>
      <c r="H11" s="9">
        <v>700</v>
      </c>
      <c r="I11" s="9">
        <v>630</v>
      </c>
      <c r="J11" s="10">
        <v>0.9</v>
      </c>
      <c r="K11" s="9">
        <v>70</v>
      </c>
      <c r="L11" s="9">
        <v>0</v>
      </c>
      <c r="M11" s="11">
        <v>4.62</v>
      </c>
      <c r="N11" s="57">
        <v>323.40000000000003</v>
      </c>
      <c r="O11" s="8">
        <v>46164</v>
      </c>
      <c r="P11" s="7" t="s">
        <v>10</v>
      </c>
      <c r="Q11" s="12"/>
    </row>
    <row r="12" spans="1:17" x14ac:dyDescent="0.25">
      <c r="A12" s="7" t="str">
        <f>VLOOKUP(B12,Plants!$A$2:$B$39,2,0)</f>
        <v>Murdoch Linen</v>
      </c>
      <c r="B12" s="7">
        <v>77</v>
      </c>
      <c r="C12" s="8">
        <v>46056</v>
      </c>
      <c r="D12" s="7" t="s">
        <v>191</v>
      </c>
      <c r="E12" s="55" t="s">
        <v>199</v>
      </c>
      <c r="F12" s="7">
        <v>15247</v>
      </c>
      <c r="G12" s="56" t="s">
        <v>200</v>
      </c>
      <c r="H12" s="9">
        <v>500</v>
      </c>
      <c r="I12" s="9">
        <v>0</v>
      </c>
      <c r="J12" s="10">
        <v>0</v>
      </c>
      <c r="K12" s="9">
        <v>500</v>
      </c>
      <c r="L12" s="9">
        <v>0</v>
      </c>
      <c r="M12" s="11">
        <v>4.13</v>
      </c>
      <c r="N12" s="57">
        <v>2065</v>
      </c>
      <c r="O12" s="8">
        <v>46164</v>
      </c>
      <c r="P12" s="7" t="s">
        <v>10</v>
      </c>
      <c r="Q12" s="58"/>
    </row>
    <row r="13" spans="1:17" x14ac:dyDescent="0.25">
      <c r="A13" s="7" t="str">
        <f>VLOOKUP(B13,Plants!$A$2:$B$39,2,0)</f>
        <v>Murdoch Linen</v>
      </c>
      <c r="B13" s="7">
        <v>77</v>
      </c>
      <c r="C13" s="8">
        <v>46076</v>
      </c>
      <c r="D13" s="7" t="s">
        <v>213</v>
      </c>
      <c r="E13" s="55" t="s">
        <v>215</v>
      </c>
      <c r="F13" s="7">
        <v>15247</v>
      </c>
      <c r="G13" s="56" t="s">
        <v>200</v>
      </c>
      <c r="H13" s="9">
        <v>500</v>
      </c>
      <c r="I13" s="9">
        <v>0</v>
      </c>
      <c r="J13" s="10">
        <v>0</v>
      </c>
      <c r="K13" s="9">
        <v>500</v>
      </c>
      <c r="L13" s="9">
        <v>0</v>
      </c>
      <c r="M13" s="11">
        <v>4.13</v>
      </c>
      <c r="N13" s="57">
        <v>2065</v>
      </c>
      <c r="O13" s="8">
        <v>46192</v>
      </c>
      <c r="P13" s="7" t="s">
        <v>10</v>
      </c>
      <c r="Q13" s="58"/>
    </row>
    <row r="14" spans="1:17" x14ac:dyDescent="0.25">
      <c r="A14" s="7" t="str">
        <f>VLOOKUP(B14,Plants!$A$2:$B$39,2,0)</f>
        <v>Murdoch Linen</v>
      </c>
      <c r="B14" s="7">
        <v>77</v>
      </c>
      <c r="C14" s="8">
        <v>46056</v>
      </c>
      <c r="D14" s="7" t="s">
        <v>191</v>
      </c>
      <c r="E14" s="55" t="s">
        <v>192</v>
      </c>
      <c r="F14" s="7">
        <v>15251</v>
      </c>
      <c r="G14" s="56" t="s">
        <v>201</v>
      </c>
      <c r="H14" s="9">
        <v>280</v>
      </c>
      <c r="I14" s="9">
        <v>0</v>
      </c>
      <c r="J14" s="10">
        <v>0</v>
      </c>
      <c r="K14" s="9">
        <v>280</v>
      </c>
      <c r="L14" s="9">
        <v>0</v>
      </c>
      <c r="M14" s="11">
        <v>2.35</v>
      </c>
      <c r="N14" s="57">
        <v>658</v>
      </c>
      <c r="O14" s="8">
        <v>46164</v>
      </c>
      <c r="P14" s="7" t="s">
        <v>10</v>
      </c>
      <c r="Q14" s="58"/>
    </row>
    <row r="15" spans="1:17" x14ac:dyDescent="0.25">
      <c r="A15" s="7" t="str">
        <f>VLOOKUP(B15,Plants!$A$2:$B$39,2,0)</f>
        <v>Murdoch Linen</v>
      </c>
      <c r="B15" s="7">
        <v>77</v>
      </c>
      <c r="C15" s="8">
        <v>46076</v>
      </c>
      <c r="D15" s="7" t="s">
        <v>213</v>
      </c>
      <c r="E15" s="55" t="s">
        <v>214</v>
      </c>
      <c r="F15" s="7">
        <v>15251</v>
      </c>
      <c r="G15" s="56" t="s">
        <v>201</v>
      </c>
      <c r="H15" s="9">
        <v>140</v>
      </c>
      <c r="I15" s="9">
        <v>0</v>
      </c>
      <c r="J15" s="10">
        <v>0</v>
      </c>
      <c r="K15" s="9">
        <v>140</v>
      </c>
      <c r="L15" s="9">
        <v>0</v>
      </c>
      <c r="M15" s="11">
        <v>2.35</v>
      </c>
      <c r="N15" s="57">
        <v>329</v>
      </c>
      <c r="O15" s="8">
        <v>46164</v>
      </c>
      <c r="P15" s="7" t="s">
        <v>10</v>
      </c>
      <c r="Q15" s="58"/>
    </row>
    <row r="16" spans="1:17" x14ac:dyDescent="0.25">
      <c r="A16" s="7" t="str">
        <f>VLOOKUP(B16,Plants!$A$2:$B$39,2,0)</f>
        <v>Murdoch Linen</v>
      </c>
      <c r="B16" s="7">
        <v>77</v>
      </c>
      <c r="C16" s="8">
        <v>46050</v>
      </c>
      <c r="D16" s="7" t="s">
        <v>183</v>
      </c>
      <c r="E16" s="55" t="s">
        <v>188</v>
      </c>
      <c r="F16" s="7">
        <v>15261</v>
      </c>
      <c r="G16" s="56" t="s">
        <v>178</v>
      </c>
      <c r="H16" s="9">
        <v>240</v>
      </c>
      <c r="I16" s="9">
        <v>0</v>
      </c>
      <c r="J16" s="10">
        <v>0</v>
      </c>
      <c r="K16" s="9">
        <v>240</v>
      </c>
      <c r="L16" s="9">
        <v>0</v>
      </c>
      <c r="M16" s="11">
        <v>6.28</v>
      </c>
      <c r="N16" s="57">
        <v>1507.2</v>
      </c>
      <c r="O16" s="8">
        <v>46129</v>
      </c>
      <c r="P16" s="7" t="s">
        <v>10</v>
      </c>
      <c r="Q16" s="58"/>
    </row>
    <row r="17" spans="1:17" x14ac:dyDescent="0.25">
      <c r="A17" s="7" t="str">
        <f>VLOOKUP(B17,Plants!$A$2:$B$39,2,0)</f>
        <v>Murdoch Linen</v>
      </c>
      <c r="B17" s="7">
        <v>77</v>
      </c>
      <c r="C17" s="8">
        <v>46056</v>
      </c>
      <c r="D17" s="7" t="s">
        <v>202</v>
      </c>
      <c r="E17" s="55" t="s">
        <v>203</v>
      </c>
      <c r="F17" s="7">
        <v>15266</v>
      </c>
      <c r="G17" s="56" t="s">
        <v>179</v>
      </c>
      <c r="H17" s="9">
        <v>2960</v>
      </c>
      <c r="I17" s="9">
        <v>560</v>
      </c>
      <c r="J17" s="10">
        <v>0.1891891891891892</v>
      </c>
      <c r="K17" s="9">
        <v>2400</v>
      </c>
      <c r="L17" s="9">
        <v>0</v>
      </c>
      <c r="M17" s="11">
        <v>3.22</v>
      </c>
      <c r="N17" s="57">
        <v>7728.0000000000009</v>
      </c>
      <c r="O17" s="8">
        <v>46164</v>
      </c>
      <c r="P17" s="7" t="s">
        <v>10</v>
      </c>
      <c r="Q17" s="58"/>
    </row>
    <row r="18" spans="1:17" x14ac:dyDescent="0.25">
      <c r="A18" s="7" t="str">
        <f>VLOOKUP(B18,Plants!$A$2:$B$39,2,0)</f>
        <v>Murdoch Linen</v>
      </c>
      <c r="B18" s="7">
        <v>77</v>
      </c>
      <c r="C18" s="8">
        <v>46056</v>
      </c>
      <c r="D18" s="7" t="s">
        <v>191</v>
      </c>
      <c r="E18" s="55" t="s">
        <v>192</v>
      </c>
      <c r="F18" s="7">
        <v>15266</v>
      </c>
      <c r="G18" s="56" t="s">
        <v>179</v>
      </c>
      <c r="H18" s="9">
        <v>1600</v>
      </c>
      <c r="I18" s="9">
        <v>0</v>
      </c>
      <c r="J18" s="10">
        <v>0</v>
      </c>
      <c r="K18" s="9">
        <v>1600</v>
      </c>
      <c r="L18" s="9">
        <v>0</v>
      </c>
      <c r="M18" s="11">
        <v>3.22</v>
      </c>
      <c r="N18" s="57">
        <v>5152</v>
      </c>
      <c r="O18" s="8">
        <v>46164</v>
      </c>
      <c r="P18" s="7" t="s">
        <v>10</v>
      </c>
      <c r="Q18" s="58"/>
    </row>
    <row r="19" spans="1:17" x14ac:dyDescent="0.25">
      <c r="A19" s="7" t="str">
        <f>VLOOKUP(B19,Plants!$A$2:$B$39,2,0)</f>
        <v>Murdoch Linen</v>
      </c>
      <c r="B19" s="7">
        <v>77</v>
      </c>
      <c r="C19" s="8">
        <v>46062</v>
      </c>
      <c r="D19" s="7" t="s">
        <v>204</v>
      </c>
      <c r="E19" s="55" t="s">
        <v>205</v>
      </c>
      <c r="F19" s="7">
        <v>15266</v>
      </c>
      <c r="G19" s="56" t="s">
        <v>179</v>
      </c>
      <c r="H19" s="9">
        <v>5200</v>
      </c>
      <c r="I19" s="9">
        <v>0</v>
      </c>
      <c r="J19" s="10">
        <v>0</v>
      </c>
      <c r="K19" s="9">
        <v>5200</v>
      </c>
      <c r="L19" s="9">
        <v>0</v>
      </c>
      <c r="M19" s="11">
        <v>3.22</v>
      </c>
      <c r="N19" s="57">
        <v>16744</v>
      </c>
      <c r="O19" s="8">
        <v>46164</v>
      </c>
      <c r="P19" s="7" t="s">
        <v>10</v>
      </c>
      <c r="Q19" s="58"/>
    </row>
    <row r="20" spans="1:17" x14ac:dyDescent="0.25">
      <c r="A20" s="7" t="str">
        <f>VLOOKUP(B20,Plants!$A$2:$B$39,2,0)</f>
        <v>Murdoch Linen</v>
      </c>
      <c r="B20" s="7">
        <v>77</v>
      </c>
      <c r="C20" s="8">
        <v>46076</v>
      </c>
      <c r="D20" s="7" t="s">
        <v>213</v>
      </c>
      <c r="E20" s="55" t="s">
        <v>214</v>
      </c>
      <c r="F20" s="7">
        <v>15266</v>
      </c>
      <c r="G20" s="56" t="s">
        <v>179</v>
      </c>
      <c r="H20" s="9">
        <v>4000</v>
      </c>
      <c r="I20" s="9">
        <v>0</v>
      </c>
      <c r="J20" s="10">
        <v>0</v>
      </c>
      <c r="K20" s="9">
        <v>4000</v>
      </c>
      <c r="L20" s="9">
        <v>0</v>
      </c>
      <c r="M20" s="11">
        <v>3.22</v>
      </c>
      <c r="N20" s="57">
        <v>12880</v>
      </c>
      <c r="O20" s="8">
        <v>46178</v>
      </c>
      <c r="P20" s="7" t="s">
        <v>10</v>
      </c>
      <c r="Q20" s="58"/>
    </row>
    <row r="21" spans="1:17" x14ac:dyDescent="0.25">
      <c r="A21" s="7" t="str">
        <f>VLOOKUP(B21,Plants!$A$2:$B$39,2,0)</f>
        <v>Murdoch Linen</v>
      </c>
      <c r="B21" s="7">
        <v>77</v>
      </c>
      <c r="C21" s="8">
        <v>46036</v>
      </c>
      <c r="D21" s="7" t="s">
        <v>186</v>
      </c>
      <c r="E21" s="55" t="s">
        <v>187</v>
      </c>
      <c r="F21" s="7">
        <v>15274</v>
      </c>
      <c r="G21" s="56" t="s">
        <v>180</v>
      </c>
      <c r="H21" s="9">
        <v>1000</v>
      </c>
      <c r="I21" s="9">
        <v>800</v>
      </c>
      <c r="J21" s="10">
        <v>0.8</v>
      </c>
      <c r="K21" s="9">
        <v>200</v>
      </c>
      <c r="L21" s="9">
        <v>0</v>
      </c>
      <c r="M21" s="11">
        <v>2.48</v>
      </c>
      <c r="N21" s="57">
        <v>496</v>
      </c>
      <c r="O21" s="8">
        <v>46150</v>
      </c>
      <c r="P21" s="7" t="s">
        <v>10</v>
      </c>
      <c r="Q21" s="58"/>
    </row>
    <row r="22" spans="1:17" x14ac:dyDescent="0.25">
      <c r="A22" s="7" t="str">
        <f>VLOOKUP(B22,Plants!$A$2:$B$39,2,0)</f>
        <v>Murdoch Linen</v>
      </c>
      <c r="B22" s="7">
        <v>77</v>
      </c>
      <c r="C22" s="8">
        <v>46056</v>
      </c>
      <c r="D22" s="7" t="s">
        <v>191</v>
      </c>
      <c r="E22" s="55" t="s">
        <v>192</v>
      </c>
      <c r="F22" s="7">
        <v>15274</v>
      </c>
      <c r="G22" s="56" t="s">
        <v>180</v>
      </c>
      <c r="H22" s="9">
        <v>200</v>
      </c>
      <c r="I22" s="9">
        <v>0</v>
      </c>
      <c r="J22" s="10">
        <v>0</v>
      </c>
      <c r="K22" s="9">
        <v>200</v>
      </c>
      <c r="L22" s="9">
        <v>0</v>
      </c>
      <c r="M22" s="11">
        <v>2.48</v>
      </c>
      <c r="N22" s="57">
        <v>496</v>
      </c>
      <c r="O22" s="8">
        <v>46150</v>
      </c>
      <c r="P22" s="7" t="s">
        <v>10</v>
      </c>
      <c r="Q22" s="58"/>
    </row>
    <row r="23" spans="1:17" x14ac:dyDescent="0.25">
      <c r="A23" s="7" t="str">
        <f>VLOOKUP(B23,Plants!$A$2:$B$39,2,0)</f>
        <v>Murdoch Linen</v>
      </c>
      <c r="B23" s="7">
        <v>77</v>
      </c>
      <c r="C23" s="8">
        <v>46056</v>
      </c>
      <c r="D23" s="7" t="s">
        <v>191</v>
      </c>
      <c r="E23" s="55" t="s">
        <v>199</v>
      </c>
      <c r="F23" s="7">
        <v>15301</v>
      </c>
      <c r="G23" s="56" t="s">
        <v>206</v>
      </c>
      <c r="H23" s="9">
        <v>500</v>
      </c>
      <c r="I23" s="9">
        <v>0</v>
      </c>
      <c r="J23" s="10">
        <v>0</v>
      </c>
      <c r="K23" s="9">
        <v>500</v>
      </c>
      <c r="L23" s="9">
        <v>0</v>
      </c>
      <c r="M23" s="11">
        <v>4.8499999999999996</v>
      </c>
      <c r="N23" s="57">
        <v>2425</v>
      </c>
      <c r="O23" s="8">
        <v>46164</v>
      </c>
      <c r="P23" s="7" t="s">
        <v>10</v>
      </c>
      <c r="Q23" s="58"/>
    </row>
    <row r="24" spans="1:17" x14ac:dyDescent="0.25">
      <c r="A24" s="7" t="str">
        <f>VLOOKUP(B24,Plants!$A$2:$B$39,2,0)</f>
        <v>Murdoch Linen</v>
      </c>
      <c r="B24" s="7">
        <v>77</v>
      </c>
      <c r="C24" s="8">
        <v>46076</v>
      </c>
      <c r="D24" s="7" t="s">
        <v>213</v>
      </c>
      <c r="E24" s="55" t="s">
        <v>215</v>
      </c>
      <c r="F24" s="7">
        <v>15301</v>
      </c>
      <c r="G24" s="56" t="s">
        <v>206</v>
      </c>
      <c r="H24" s="9">
        <v>500</v>
      </c>
      <c r="I24" s="9">
        <v>0</v>
      </c>
      <c r="J24" s="10">
        <v>0</v>
      </c>
      <c r="K24" s="9">
        <v>500</v>
      </c>
      <c r="L24" s="9">
        <v>0</v>
      </c>
      <c r="M24" s="11">
        <v>4.8499999999999996</v>
      </c>
      <c r="N24" s="57">
        <v>2425</v>
      </c>
      <c r="O24" s="8">
        <v>46164</v>
      </c>
      <c r="P24" s="7" t="s">
        <v>10</v>
      </c>
      <c r="Q24" s="58"/>
    </row>
    <row r="25" spans="1:17" x14ac:dyDescent="0.25">
      <c r="A25" s="7" t="str">
        <f>VLOOKUP(B25,Plants!$A$2:$B$39,2,0)</f>
        <v>Murdoch Linen</v>
      </c>
      <c r="B25" s="7">
        <v>77</v>
      </c>
      <c r="C25" s="8">
        <v>46091</v>
      </c>
      <c r="D25" s="7" t="s">
        <v>221</v>
      </c>
      <c r="E25" s="55" t="s">
        <v>222</v>
      </c>
      <c r="F25" s="7">
        <v>15572</v>
      </c>
      <c r="G25" s="56" t="s">
        <v>225</v>
      </c>
      <c r="H25" s="9">
        <v>60</v>
      </c>
      <c r="I25" s="9">
        <v>0</v>
      </c>
      <c r="J25" s="10">
        <v>0</v>
      </c>
      <c r="K25" s="9">
        <v>60</v>
      </c>
      <c r="L25" s="9">
        <v>0</v>
      </c>
      <c r="M25" s="11">
        <v>19.27</v>
      </c>
      <c r="N25" s="57">
        <v>1156.2</v>
      </c>
      <c r="O25" s="8">
        <v>46192</v>
      </c>
      <c r="P25" s="7" t="s">
        <v>10</v>
      </c>
      <c r="Q25" s="12"/>
    </row>
    <row r="26" spans="1:17" x14ac:dyDescent="0.25">
      <c r="A26" s="7" t="str">
        <f>VLOOKUP(B26,Plants!$A$2:$B$39,2,0)</f>
        <v>Murdoch Linen</v>
      </c>
      <c r="B26" s="7">
        <v>77</v>
      </c>
      <c r="C26" s="8">
        <v>46036</v>
      </c>
      <c r="D26" s="7" t="s">
        <v>186</v>
      </c>
      <c r="E26" s="55" t="s">
        <v>187</v>
      </c>
      <c r="F26" s="7">
        <v>15766</v>
      </c>
      <c r="G26" s="56" t="s">
        <v>181</v>
      </c>
      <c r="H26" s="9">
        <v>5100</v>
      </c>
      <c r="I26" s="9">
        <v>0</v>
      </c>
      <c r="J26" s="10">
        <v>0</v>
      </c>
      <c r="K26" s="9">
        <v>5100</v>
      </c>
      <c r="L26" s="9">
        <v>0</v>
      </c>
      <c r="M26" s="11">
        <v>14.16</v>
      </c>
      <c r="N26" s="57">
        <v>72216</v>
      </c>
      <c r="O26" s="8">
        <v>46150</v>
      </c>
      <c r="P26" s="7" t="s">
        <v>67</v>
      </c>
      <c r="Q26" s="58"/>
    </row>
    <row r="27" spans="1:17" x14ac:dyDescent="0.25">
      <c r="A27" s="7" t="str">
        <f>VLOOKUP(B27,Plants!$A$2:$B$39,2,0)</f>
        <v>Murdoch Linen</v>
      </c>
      <c r="B27" s="7">
        <v>77</v>
      </c>
      <c r="C27" s="8">
        <v>46051</v>
      </c>
      <c r="D27" s="7" t="s">
        <v>189</v>
      </c>
      <c r="E27" s="55" t="s">
        <v>190</v>
      </c>
      <c r="F27" s="7">
        <v>15766</v>
      </c>
      <c r="G27" s="56" t="s">
        <v>181</v>
      </c>
      <c r="H27" s="9">
        <v>6000</v>
      </c>
      <c r="I27" s="9">
        <v>5160</v>
      </c>
      <c r="J27" s="10">
        <v>0.86</v>
      </c>
      <c r="K27" s="9">
        <v>840</v>
      </c>
      <c r="L27" s="9">
        <v>0</v>
      </c>
      <c r="M27" s="11">
        <v>14.16</v>
      </c>
      <c r="N27" s="57">
        <v>11894.4</v>
      </c>
      <c r="O27" s="8">
        <v>46164</v>
      </c>
      <c r="P27" s="7" t="s">
        <v>67</v>
      </c>
      <c r="Q27" s="58"/>
    </row>
    <row r="28" spans="1:17" x14ac:dyDescent="0.25">
      <c r="A28" s="7" t="str">
        <f>VLOOKUP(B28,Plants!$A$2:$B$39,2,0)</f>
        <v>Murdoch Linen</v>
      </c>
      <c r="B28" s="7">
        <v>77</v>
      </c>
      <c r="C28" s="8">
        <v>46056</v>
      </c>
      <c r="D28" s="7" t="s">
        <v>191</v>
      </c>
      <c r="E28" s="55" t="s">
        <v>192</v>
      </c>
      <c r="F28" s="7">
        <v>15766</v>
      </c>
      <c r="G28" s="56" t="s">
        <v>181</v>
      </c>
      <c r="H28" s="9">
        <v>2010</v>
      </c>
      <c r="I28" s="9">
        <v>0</v>
      </c>
      <c r="J28" s="10">
        <v>0</v>
      </c>
      <c r="K28" s="9">
        <v>2010</v>
      </c>
      <c r="L28" s="9">
        <v>0</v>
      </c>
      <c r="M28" s="11">
        <v>14.16</v>
      </c>
      <c r="N28" s="57">
        <v>28461.599999999999</v>
      </c>
      <c r="O28" s="8">
        <v>46164</v>
      </c>
      <c r="P28" s="7" t="s">
        <v>67</v>
      </c>
      <c r="Q28" s="58"/>
    </row>
    <row r="29" spans="1:17" x14ac:dyDescent="0.25">
      <c r="A29" s="7" t="str">
        <f>VLOOKUP(B29,Plants!$A$2:$B$39,2,0)</f>
        <v>Murdoch Linen</v>
      </c>
      <c r="B29" s="7">
        <v>77</v>
      </c>
      <c r="C29" s="8">
        <v>46076</v>
      </c>
      <c r="D29" s="7" t="s">
        <v>213</v>
      </c>
      <c r="E29" s="55" t="s">
        <v>215</v>
      </c>
      <c r="F29" s="7">
        <v>15766</v>
      </c>
      <c r="G29" s="56" t="s">
        <v>181</v>
      </c>
      <c r="H29" s="9">
        <v>990</v>
      </c>
      <c r="I29" s="9">
        <v>0</v>
      </c>
      <c r="J29" s="10">
        <v>0</v>
      </c>
      <c r="K29" s="9">
        <v>990</v>
      </c>
      <c r="L29" s="9">
        <v>0</v>
      </c>
      <c r="M29" s="11">
        <v>14.16</v>
      </c>
      <c r="N29" s="57">
        <v>14018.4</v>
      </c>
      <c r="O29" s="8">
        <v>46164</v>
      </c>
      <c r="P29" s="7" t="s">
        <v>67</v>
      </c>
      <c r="Q29" s="58"/>
    </row>
    <row r="30" spans="1:17" x14ac:dyDescent="0.25">
      <c r="A30" s="7" t="str">
        <f>VLOOKUP(B30,Plants!$A$2:$B$39,2,0)</f>
        <v>Murdoch Linen</v>
      </c>
      <c r="B30" s="7">
        <v>77</v>
      </c>
      <c r="C30" s="8">
        <v>46091</v>
      </c>
      <c r="D30" s="7" t="s">
        <v>221</v>
      </c>
      <c r="E30" s="55" t="s">
        <v>222</v>
      </c>
      <c r="F30" s="7">
        <v>15766</v>
      </c>
      <c r="G30" s="56" t="s">
        <v>181</v>
      </c>
      <c r="H30" s="9">
        <v>420</v>
      </c>
      <c r="I30" s="9">
        <v>0</v>
      </c>
      <c r="J30" s="10">
        <v>0</v>
      </c>
      <c r="K30" s="9">
        <v>420</v>
      </c>
      <c r="L30" s="9">
        <v>0</v>
      </c>
      <c r="M30" s="11">
        <v>14.16</v>
      </c>
      <c r="N30" s="57">
        <v>5947.2</v>
      </c>
      <c r="O30" s="8">
        <v>46164</v>
      </c>
      <c r="P30" s="7" t="s">
        <v>67</v>
      </c>
      <c r="Q30" s="58"/>
    </row>
    <row r="31" spans="1:17" x14ac:dyDescent="0.25">
      <c r="A31" s="7" t="str">
        <f>VLOOKUP(B31,Plants!$A$2:$B$39,2,0)</f>
        <v>Murdoch Linen</v>
      </c>
      <c r="B31" s="7">
        <v>77</v>
      </c>
      <c r="C31" s="8">
        <v>46091</v>
      </c>
      <c r="D31" s="7" t="s">
        <v>223</v>
      </c>
      <c r="E31" s="55" t="s">
        <v>224</v>
      </c>
      <c r="F31" s="7">
        <v>15766</v>
      </c>
      <c r="G31" s="56" t="s">
        <v>181</v>
      </c>
      <c r="H31" s="9">
        <v>420</v>
      </c>
      <c r="I31" s="9">
        <v>0</v>
      </c>
      <c r="J31" s="10">
        <v>0</v>
      </c>
      <c r="K31" s="9">
        <v>420</v>
      </c>
      <c r="L31" s="9">
        <v>0</v>
      </c>
      <c r="M31" s="11">
        <v>14.16</v>
      </c>
      <c r="N31" s="57">
        <v>5947.2</v>
      </c>
      <c r="O31" s="8">
        <v>46164</v>
      </c>
      <c r="P31" s="7" t="s">
        <v>67</v>
      </c>
      <c r="Q31" s="58"/>
    </row>
    <row r="32" spans="1:17" x14ac:dyDescent="0.25">
      <c r="A32" s="7" t="str">
        <f>VLOOKUP(B32,Plants!$A$2:$B$39,2,0)</f>
        <v>Murdoch Linen</v>
      </c>
      <c r="B32" s="7">
        <v>77</v>
      </c>
      <c r="C32" s="8">
        <v>46056</v>
      </c>
      <c r="D32" s="7" t="s">
        <v>191</v>
      </c>
      <c r="E32" s="55" t="s">
        <v>192</v>
      </c>
      <c r="F32" s="7">
        <v>16035</v>
      </c>
      <c r="G32" s="56" t="s">
        <v>207</v>
      </c>
      <c r="H32" s="9">
        <v>300</v>
      </c>
      <c r="I32" s="9">
        <v>120</v>
      </c>
      <c r="J32" s="10">
        <v>0.4</v>
      </c>
      <c r="K32" s="9">
        <v>180</v>
      </c>
      <c r="L32" s="9">
        <v>0</v>
      </c>
      <c r="M32" s="11">
        <v>21.52</v>
      </c>
      <c r="N32" s="57">
        <v>3873.6</v>
      </c>
      <c r="O32" s="8">
        <v>46164</v>
      </c>
      <c r="P32" s="7" t="s">
        <v>10</v>
      </c>
      <c r="Q32" s="58"/>
    </row>
    <row r="33" spans="1:17" x14ac:dyDescent="0.25">
      <c r="A33" s="7" t="str">
        <f>VLOOKUP(B33,Plants!$A$2:$B$39,2,0)</f>
        <v>Murdoch Linen</v>
      </c>
      <c r="B33" s="7">
        <v>77</v>
      </c>
      <c r="C33" s="8">
        <v>46076</v>
      </c>
      <c r="D33" s="7" t="s">
        <v>213</v>
      </c>
      <c r="E33" s="55" t="s">
        <v>214</v>
      </c>
      <c r="F33" s="7">
        <v>16035</v>
      </c>
      <c r="G33" s="56" t="s">
        <v>207</v>
      </c>
      <c r="H33" s="9">
        <v>300</v>
      </c>
      <c r="I33" s="9">
        <v>0</v>
      </c>
      <c r="J33" s="10">
        <v>0</v>
      </c>
      <c r="K33" s="9">
        <v>300</v>
      </c>
      <c r="L33" s="9">
        <v>0</v>
      </c>
      <c r="M33" s="11">
        <v>21.52</v>
      </c>
      <c r="N33" s="57">
        <v>6456</v>
      </c>
      <c r="O33" s="8">
        <v>46178</v>
      </c>
      <c r="P33" s="7" t="s">
        <v>10</v>
      </c>
      <c r="Q33" s="58"/>
    </row>
    <row r="34" spans="1:17" x14ac:dyDescent="0.25">
      <c r="A34" s="7" t="str">
        <f>VLOOKUP(B34,Plants!$A$2:$B$39,2,0)</f>
        <v>Murdoch Linen</v>
      </c>
      <c r="B34" s="7">
        <v>77</v>
      </c>
      <c r="C34" s="8">
        <v>46091</v>
      </c>
      <c r="D34" s="7" t="s">
        <v>223</v>
      </c>
      <c r="E34" s="55" t="s">
        <v>224</v>
      </c>
      <c r="F34" s="7">
        <v>16035</v>
      </c>
      <c r="G34" s="56" t="s">
        <v>207</v>
      </c>
      <c r="H34" s="9">
        <v>150</v>
      </c>
      <c r="I34" s="9">
        <v>0</v>
      </c>
      <c r="J34" s="10">
        <v>0</v>
      </c>
      <c r="K34" s="9">
        <v>150</v>
      </c>
      <c r="L34" s="9">
        <v>0</v>
      </c>
      <c r="M34" s="11">
        <v>21.52</v>
      </c>
      <c r="N34" s="57">
        <v>3228</v>
      </c>
      <c r="O34" s="8">
        <v>46192</v>
      </c>
      <c r="P34" s="7" t="s">
        <v>10</v>
      </c>
      <c r="Q34" s="58"/>
    </row>
    <row r="35" spans="1:17" x14ac:dyDescent="0.25">
      <c r="A35" s="7" t="str">
        <f>VLOOKUP(B35,Plants!$A$2:$B$39,2,0)</f>
        <v>Murdoch Linen</v>
      </c>
      <c r="B35" s="7">
        <v>77</v>
      </c>
      <c r="C35" s="8">
        <v>46000</v>
      </c>
      <c r="D35" s="7" t="s">
        <v>183</v>
      </c>
      <c r="E35" s="55" t="s">
        <v>184</v>
      </c>
      <c r="F35" s="7">
        <v>16038</v>
      </c>
      <c r="G35" s="56" t="s">
        <v>177</v>
      </c>
      <c r="H35" s="9">
        <v>360</v>
      </c>
      <c r="I35" s="9">
        <v>108</v>
      </c>
      <c r="J35" s="10">
        <v>0.3</v>
      </c>
      <c r="K35" s="9">
        <v>252</v>
      </c>
      <c r="L35" s="9">
        <v>0</v>
      </c>
      <c r="M35" s="11">
        <v>21.25</v>
      </c>
      <c r="N35" s="57">
        <v>5355</v>
      </c>
      <c r="O35" s="8">
        <v>46136</v>
      </c>
      <c r="P35" s="7" t="s">
        <v>10</v>
      </c>
      <c r="Q35" s="12"/>
    </row>
    <row r="36" spans="1:17" x14ac:dyDescent="0.25">
      <c r="A36" s="7" t="str">
        <f>VLOOKUP(B36,Plants!$A$2:$B$39,2,0)</f>
        <v>Murdoch Linen</v>
      </c>
      <c r="B36" s="7">
        <v>77</v>
      </c>
      <c r="C36" s="8">
        <v>46076</v>
      </c>
      <c r="D36" s="7" t="s">
        <v>213</v>
      </c>
      <c r="E36" s="55" t="s">
        <v>214</v>
      </c>
      <c r="F36" s="7">
        <v>16039</v>
      </c>
      <c r="G36" s="56" t="s">
        <v>218</v>
      </c>
      <c r="H36" s="9">
        <v>700</v>
      </c>
      <c r="I36" s="9">
        <v>210</v>
      </c>
      <c r="J36" s="10">
        <v>0.3</v>
      </c>
      <c r="K36" s="9">
        <v>490</v>
      </c>
      <c r="L36" s="9">
        <v>0</v>
      </c>
      <c r="M36" s="11">
        <v>4.1500000000000004</v>
      </c>
      <c r="N36" s="57">
        <v>2033.5000000000002</v>
      </c>
      <c r="O36" s="8">
        <v>46164</v>
      </c>
      <c r="P36" s="7" t="s">
        <v>10</v>
      </c>
      <c r="Q36" s="58"/>
    </row>
    <row r="37" spans="1:17" x14ac:dyDescent="0.25">
      <c r="A37" s="7" t="str">
        <f>VLOOKUP(B37,Plants!$A$2:$B$39,2,0)</f>
        <v>Murdoch Linen</v>
      </c>
      <c r="B37" s="7">
        <v>77</v>
      </c>
      <c r="C37" s="8">
        <v>46076</v>
      </c>
      <c r="D37" s="7" t="s">
        <v>213</v>
      </c>
      <c r="E37" s="55" t="s">
        <v>215</v>
      </c>
      <c r="F37" s="7">
        <v>16040</v>
      </c>
      <c r="G37" s="56" t="s">
        <v>219</v>
      </c>
      <c r="H37" s="9">
        <v>350</v>
      </c>
      <c r="I37" s="9">
        <v>140</v>
      </c>
      <c r="J37" s="10">
        <v>0.4</v>
      </c>
      <c r="K37" s="9">
        <v>210</v>
      </c>
      <c r="L37" s="9">
        <v>0</v>
      </c>
      <c r="M37" s="11">
        <v>6.43</v>
      </c>
      <c r="N37" s="57">
        <v>1350.3</v>
      </c>
      <c r="O37" s="8">
        <v>46164</v>
      </c>
      <c r="P37" s="7" t="s">
        <v>10</v>
      </c>
      <c r="Q37" s="58"/>
    </row>
    <row r="38" spans="1:17" x14ac:dyDescent="0.25">
      <c r="A38" s="7" t="str">
        <f>VLOOKUP(B38,Plants!$A$2:$B$39,2,0)</f>
        <v>Murdoch Linen</v>
      </c>
      <c r="B38" s="7">
        <v>77</v>
      </c>
      <c r="C38" s="8">
        <v>46056</v>
      </c>
      <c r="D38" s="7" t="s">
        <v>191</v>
      </c>
      <c r="E38" s="55" t="s">
        <v>199</v>
      </c>
      <c r="F38" s="7">
        <v>16041</v>
      </c>
      <c r="G38" s="56" t="s">
        <v>208</v>
      </c>
      <c r="H38" s="9">
        <v>250</v>
      </c>
      <c r="I38" s="9">
        <v>0</v>
      </c>
      <c r="J38" s="10">
        <v>0</v>
      </c>
      <c r="K38" s="9">
        <v>250</v>
      </c>
      <c r="L38" s="9">
        <v>0</v>
      </c>
      <c r="M38" s="11">
        <v>5.89</v>
      </c>
      <c r="N38" s="57">
        <v>1472.5</v>
      </c>
      <c r="O38" s="8">
        <v>46164</v>
      </c>
      <c r="P38" s="7" t="s">
        <v>10</v>
      </c>
      <c r="Q38" s="58"/>
    </row>
    <row r="39" spans="1:17" x14ac:dyDescent="0.25">
      <c r="A39" s="7" t="str">
        <f>VLOOKUP(B39,Plants!$A$2:$B$39,2,0)</f>
        <v>Murdoch Linen</v>
      </c>
      <c r="B39" s="7">
        <v>77</v>
      </c>
      <c r="C39" s="8">
        <v>46076</v>
      </c>
      <c r="D39" s="7" t="s">
        <v>213</v>
      </c>
      <c r="E39" s="55" t="s">
        <v>215</v>
      </c>
      <c r="F39" s="7">
        <v>16041</v>
      </c>
      <c r="G39" s="56" t="s">
        <v>208</v>
      </c>
      <c r="H39" s="9">
        <v>250</v>
      </c>
      <c r="I39" s="9">
        <v>0</v>
      </c>
      <c r="J39" s="10">
        <v>0</v>
      </c>
      <c r="K39" s="9">
        <v>250</v>
      </c>
      <c r="L39" s="9">
        <v>0</v>
      </c>
      <c r="M39" s="11">
        <v>5.89</v>
      </c>
      <c r="N39" s="57">
        <v>1472.5</v>
      </c>
      <c r="O39" s="8">
        <v>46164</v>
      </c>
      <c r="P39" s="7" t="s">
        <v>10</v>
      </c>
      <c r="Q39" s="58"/>
    </row>
    <row r="40" spans="1:17" x14ac:dyDescent="0.25">
      <c r="A40" s="7" t="str">
        <f>VLOOKUP(B40,Plants!$A$2:$B$39,2,0)</f>
        <v>Murdoch Linen</v>
      </c>
      <c r="B40" s="7">
        <v>77</v>
      </c>
      <c r="C40" s="8">
        <v>46084</v>
      </c>
      <c r="D40" s="7" t="s">
        <v>209</v>
      </c>
      <c r="E40" s="55" t="s">
        <v>220</v>
      </c>
      <c r="F40" s="7">
        <v>16041</v>
      </c>
      <c r="G40" s="56" t="s">
        <v>208</v>
      </c>
      <c r="H40" s="9">
        <v>50</v>
      </c>
      <c r="I40" s="9">
        <v>0</v>
      </c>
      <c r="J40" s="10">
        <v>0</v>
      </c>
      <c r="K40" s="9">
        <v>50</v>
      </c>
      <c r="L40" s="9">
        <v>0</v>
      </c>
      <c r="M40" s="11">
        <v>5.89</v>
      </c>
      <c r="N40" s="57">
        <v>294.5</v>
      </c>
      <c r="O40" s="8">
        <v>46178</v>
      </c>
      <c r="P40" s="7" t="s">
        <v>10</v>
      </c>
      <c r="Q40" s="58"/>
    </row>
    <row r="41" spans="1:17" x14ac:dyDescent="0.25">
      <c r="A41" s="7" t="str">
        <f>VLOOKUP(B41,Plants!$A$2:$B$39,2,0)</f>
        <v>Murdoch Linen</v>
      </c>
      <c r="B41" s="7">
        <v>77</v>
      </c>
      <c r="C41" s="8">
        <v>46063</v>
      </c>
      <c r="D41" s="7" t="s">
        <v>209</v>
      </c>
      <c r="E41" s="55" t="s">
        <v>210</v>
      </c>
      <c r="F41" s="7">
        <v>16042</v>
      </c>
      <c r="G41" s="56" t="s">
        <v>211</v>
      </c>
      <c r="H41" s="9">
        <v>60</v>
      </c>
      <c r="I41" s="9">
        <v>0</v>
      </c>
      <c r="J41" s="10">
        <v>0</v>
      </c>
      <c r="K41" s="9">
        <v>60</v>
      </c>
      <c r="L41" s="9">
        <v>0</v>
      </c>
      <c r="M41" s="11">
        <v>3.09</v>
      </c>
      <c r="N41" s="57">
        <v>185.39999999999998</v>
      </c>
      <c r="O41" s="8">
        <v>46164</v>
      </c>
      <c r="P41" s="7" t="s">
        <v>10</v>
      </c>
      <c r="Q41" s="58"/>
    </row>
    <row r="42" spans="1:17" x14ac:dyDescent="0.25">
      <c r="A42" s="7" t="str">
        <f>VLOOKUP(B42,Plants!$A$2:$B$39,2,0)</f>
        <v>Murdoch Linen</v>
      </c>
      <c r="B42" s="7">
        <v>77</v>
      </c>
      <c r="C42" s="8">
        <v>46076</v>
      </c>
      <c r="D42" s="7" t="s">
        <v>213</v>
      </c>
      <c r="E42" s="55" t="s">
        <v>215</v>
      </c>
      <c r="F42" s="7">
        <v>16042</v>
      </c>
      <c r="G42" s="56" t="s">
        <v>211</v>
      </c>
      <c r="H42" s="9">
        <v>300</v>
      </c>
      <c r="I42" s="9">
        <v>0</v>
      </c>
      <c r="J42" s="10">
        <v>0</v>
      </c>
      <c r="K42" s="9">
        <v>300</v>
      </c>
      <c r="L42" s="9">
        <v>0</v>
      </c>
      <c r="M42" s="11">
        <v>3.09</v>
      </c>
      <c r="N42" s="57">
        <v>927</v>
      </c>
      <c r="O42" s="8">
        <v>46164</v>
      </c>
      <c r="P42" s="7" t="s">
        <v>10</v>
      </c>
      <c r="Q42" s="58"/>
    </row>
    <row r="43" spans="1:17" x14ac:dyDescent="0.25">
      <c r="A43" s="7" t="str">
        <f>VLOOKUP(B43,Plants!$A$2:$B$39,2,0)</f>
        <v>Murdoch Linen</v>
      </c>
      <c r="B43" s="7">
        <v>77</v>
      </c>
      <c r="C43" s="8">
        <v>46076</v>
      </c>
      <c r="D43" s="7" t="s">
        <v>213</v>
      </c>
      <c r="E43" s="55" t="s">
        <v>215</v>
      </c>
      <c r="F43" s="7">
        <v>16043</v>
      </c>
      <c r="G43" s="56" t="s">
        <v>212</v>
      </c>
      <c r="H43" s="9">
        <v>250</v>
      </c>
      <c r="I43" s="9">
        <v>0</v>
      </c>
      <c r="J43" s="10">
        <v>0</v>
      </c>
      <c r="K43" s="9">
        <v>250</v>
      </c>
      <c r="L43" s="9">
        <v>0</v>
      </c>
      <c r="M43" s="11">
        <v>5.89</v>
      </c>
      <c r="N43" s="57">
        <v>1472.5</v>
      </c>
      <c r="O43" s="8">
        <v>46164</v>
      </c>
      <c r="P43" s="7" t="s">
        <v>10</v>
      </c>
      <c r="Q43" s="58"/>
    </row>
    <row r="44" spans="1:17" x14ac:dyDescent="0.25">
      <c r="A44" s="7" t="str">
        <f>VLOOKUP(B44,Plants!$A$2:$B$39,2,0)</f>
        <v>Murdoch Linen</v>
      </c>
      <c r="B44" s="7">
        <v>77</v>
      </c>
      <c r="C44" s="8">
        <v>46084</v>
      </c>
      <c r="D44" s="7" t="s">
        <v>209</v>
      </c>
      <c r="E44" s="55" t="s">
        <v>220</v>
      </c>
      <c r="F44" s="7">
        <v>16043</v>
      </c>
      <c r="G44" s="56" t="s">
        <v>212</v>
      </c>
      <c r="H44" s="9">
        <v>400</v>
      </c>
      <c r="I44" s="9">
        <v>0</v>
      </c>
      <c r="J44" s="10">
        <v>0</v>
      </c>
      <c r="K44" s="9">
        <v>400</v>
      </c>
      <c r="L44" s="9">
        <v>0</v>
      </c>
      <c r="M44" s="11">
        <v>5.89</v>
      </c>
      <c r="N44" s="57">
        <v>2356</v>
      </c>
      <c r="O44" s="8">
        <v>46178</v>
      </c>
      <c r="P44" s="7" t="s">
        <v>10</v>
      </c>
      <c r="Q44" s="12"/>
    </row>
    <row r="45" spans="1:17" x14ac:dyDescent="0.25">
      <c r="A45" s="7" t="str">
        <f>VLOOKUP(B45,Plants!$A$2:$B$39,2,0)</f>
        <v>Murdoch Linen</v>
      </c>
      <c r="B45" s="7">
        <v>77</v>
      </c>
      <c r="C45" s="8">
        <v>46062</v>
      </c>
      <c r="D45" s="7" t="s">
        <v>194</v>
      </c>
      <c r="E45" s="55" t="s">
        <v>195</v>
      </c>
      <c r="F45" s="7">
        <v>17496</v>
      </c>
      <c r="G45" s="56" t="s">
        <v>196</v>
      </c>
      <c r="H45" s="9">
        <v>350</v>
      </c>
      <c r="I45" s="9">
        <v>0</v>
      </c>
      <c r="J45" s="10">
        <v>0</v>
      </c>
      <c r="K45" s="9">
        <v>350</v>
      </c>
      <c r="L45" s="9">
        <v>0</v>
      </c>
      <c r="M45" s="11">
        <v>9.75</v>
      </c>
      <c r="N45" s="57">
        <v>3412.5</v>
      </c>
      <c r="O45" s="8">
        <v>46157</v>
      </c>
      <c r="P45" s="7" t="s">
        <v>10</v>
      </c>
      <c r="Q45" s="58"/>
    </row>
  </sheetData>
  <autoFilter ref="A2:Q45" xr:uid="{3BA8C6F5-CC23-4DF6-996B-F75C5C1F31E7}"/>
  <sortState xmlns:xlrd2="http://schemas.microsoft.com/office/spreadsheetml/2017/richdata2" ref="A3:Q45">
    <sortCondition ref="A3:A45"/>
    <sortCondition ref="F3:F45"/>
    <sortCondition ref="C3:C45"/>
  </sortState>
  <pageMargins left="0.51181102362204722" right="0.47244094488188981" top="0.55118110236220474" bottom="0.55118110236220474" header="0.31496062992125984" footer="0.31496062992125984"/>
  <pageSetup paperSize="8" scale="80" fitToHeight="0" orientation="landscape" r:id="rId1"/>
  <headerFooter>
    <oddHeader>&amp;F</oddHeader>
    <oddFooter>&amp;L&amp;A&amp;C&amp;"Calibri,Bold"Confidential&amp;RPage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9F12-432D-470F-BDEE-84A73EFF2678}">
  <sheetPr>
    <tabColor theme="3" tint="0.79998168889431442"/>
    <pageSetUpPr fitToPage="1"/>
  </sheetPr>
  <dimension ref="A1:P44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48"/>
    <col min="12" max="12" width="9.28515625" style="28" bestFit="1" customWidth="1"/>
    <col min="13" max="13" width="8.85546875" style="28"/>
    <col min="14" max="14" width="6" style="28" customWidth="1"/>
    <col min="15" max="15" width="12.5703125" style="28" customWidth="1"/>
    <col min="16" max="16" width="44.7109375" style="29" customWidth="1"/>
    <col min="17" max="16384" width="8.85546875" style="29"/>
  </cols>
  <sheetData>
    <row r="1" spans="1:16" ht="30" customHeight="1" x14ac:dyDescent="0.2">
      <c r="A1" s="26" t="s">
        <v>45</v>
      </c>
      <c r="K1" s="45" t="s">
        <v>44</v>
      </c>
      <c r="L1" s="31">
        <f>SUM(L3:L44)</f>
        <v>88227.16</v>
      </c>
    </row>
    <row r="2" spans="1:16" s="34" customFormat="1" ht="25.5" x14ac:dyDescent="0.2">
      <c r="A2" s="32" t="s">
        <v>46</v>
      </c>
      <c r="B2" s="33" t="s">
        <v>47</v>
      </c>
      <c r="C2" s="32" t="s">
        <v>48</v>
      </c>
      <c r="D2" s="32" t="s">
        <v>1</v>
      </c>
      <c r="E2" s="32" t="s">
        <v>37</v>
      </c>
      <c r="F2" s="32" t="s">
        <v>49</v>
      </c>
      <c r="G2" s="32" t="s">
        <v>3</v>
      </c>
      <c r="H2" s="32" t="s">
        <v>4</v>
      </c>
      <c r="I2" s="32" t="s">
        <v>50</v>
      </c>
      <c r="J2" s="32" t="s">
        <v>6</v>
      </c>
      <c r="K2" s="46" t="s">
        <v>51</v>
      </c>
      <c r="L2" s="32" t="s">
        <v>52</v>
      </c>
      <c r="M2" s="32" t="s">
        <v>53</v>
      </c>
      <c r="N2" s="32"/>
      <c r="O2" s="32" t="s">
        <v>54</v>
      </c>
      <c r="P2" s="32" t="s">
        <v>9</v>
      </c>
    </row>
    <row r="3" spans="1:16" x14ac:dyDescent="0.2">
      <c r="A3" s="35" t="s">
        <v>61</v>
      </c>
      <c r="B3" s="36">
        <v>45254</v>
      </c>
      <c r="C3" s="35" t="s">
        <v>93</v>
      </c>
      <c r="D3" s="35" t="s">
        <v>83</v>
      </c>
      <c r="E3" s="35" t="s">
        <v>81</v>
      </c>
      <c r="F3" s="37" t="s">
        <v>82</v>
      </c>
      <c r="G3" s="38">
        <v>40</v>
      </c>
      <c r="H3" s="38">
        <v>0</v>
      </c>
      <c r="I3" s="39">
        <v>0</v>
      </c>
      <c r="J3" s="38">
        <v>40</v>
      </c>
      <c r="K3" s="47">
        <v>10.33</v>
      </c>
      <c r="L3" s="40">
        <v>413.2</v>
      </c>
      <c r="M3" s="35" t="s">
        <v>57</v>
      </c>
      <c r="N3" s="35" t="s">
        <v>58</v>
      </c>
      <c r="O3" s="60">
        <v>45366</v>
      </c>
      <c r="P3" s="37"/>
    </row>
    <row r="4" spans="1:16" x14ac:dyDescent="0.2">
      <c r="A4" s="35" t="s">
        <v>61</v>
      </c>
      <c r="B4" s="36">
        <v>45254</v>
      </c>
      <c r="C4" s="35">
        <v>4318687</v>
      </c>
      <c r="D4" s="35" t="s">
        <v>102</v>
      </c>
      <c r="E4" s="35" t="s">
        <v>81</v>
      </c>
      <c r="F4" s="37" t="s">
        <v>82</v>
      </c>
      <c r="G4" s="38">
        <v>40</v>
      </c>
      <c r="H4" s="38">
        <v>0</v>
      </c>
      <c r="I4" s="39">
        <v>0</v>
      </c>
      <c r="J4" s="38">
        <v>40</v>
      </c>
      <c r="K4" s="47">
        <v>10.33</v>
      </c>
      <c r="L4" s="40">
        <v>413.2</v>
      </c>
      <c r="M4" s="35" t="s">
        <v>57</v>
      </c>
      <c r="N4" s="35" t="s">
        <v>58</v>
      </c>
      <c r="O4" s="41">
        <v>45366</v>
      </c>
      <c r="P4" s="37"/>
    </row>
    <row r="5" spans="1:16" x14ac:dyDescent="0.2">
      <c r="A5" s="35" t="s">
        <v>61</v>
      </c>
      <c r="B5" s="36">
        <v>45295</v>
      </c>
      <c r="C5" s="35" t="s">
        <v>98</v>
      </c>
      <c r="D5" s="35" t="s">
        <v>99</v>
      </c>
      <c r="E5" s="35" t="s">
        <v>81</v>
      </c>
      <c r="F5" s="37" t="s">
        <v>82</v>
      </c>
      <c r="G5" s="38">
        <v>40</v>
      </c>
      <c r="H5" s="38">
        <v>0</v>
      </c>
      <c r="I5" s="39">
        <v>0</v>
      </c>
      <c r="J5" s="38">
        <v>40</v>
      </c>
      <c r="K5" s="47">
        <v>10.33</v>
      </c>
      <c r="L5" s="40">
        <v>413.2</v>
      </c>
      <c r="M5" s="35" t="s">
        <v>57</v>
      </c>
      <c r="N5" s="35" t="s">
        <v>58</v>
      </c>
      <c r="O5" s="41">
        <v>45366</v>
      </c>
      <c r="P5" s="37"/>
    </row>
    <row r="6" spans="1:16" x14ac:dyDescent="0.2">
      <c r="A6" s="35" t="s">
        <v>61</v>
      </c>
      <c r="B6" s="36">
        <v>45310</v>
      </c>
      <c r="C6" s="35">
        <v>4320024</v>
      </c>
      <c r="D6" s="35" t="s">
        <v>139</v>
      </c>
      <c r="E6" s="35" t="s">
        <v>81</v>
      </c>
      <c r="F6" s="37" t="s">
        <v>82</v>
      </c>
      <c r="G6" s="38">
        <v>40</v>
      </c>
      <c r="H6" s="38">
        <v>0</v>
      </c>
      <c r="I6" s="39">
        <v>0</v>
      </c>
      <c r="J6" s="38">
        <v>40</v>
      </c>
      <c r="K6" s="47">
        <v>10.33</v>
      </c>
      <c r="L6" s="40">
        <v>413.2</v>
      </c>
      <c r="M6" s="35" t="s">
        <v>57</v>
      </c>
      <c r="N6" s="35" t="s">
        <v>58</v>
      </c>
      <c r="O6" s="41">
        <v>45366</v>
      </c>
      <c r="P6" s="37"/>
    </row>
    <row r="7" spans="1:16" x14ac:dyDescent="0.2">
      <c r="A7" s="35" t="s">
        <v>61</v>
      </c>
      <c r="B7" s="36">
        <v>45310</v>
      </c>
      <c r="C7" s="35">
        <v>4320024</v>
      </c>
      <c r="D7" s="35" t="s">
        <v>139</v>
      </c>
      <c r="E7" s="35" t="s">
        <v>140</v>
      </c>
      <c r="F7" s="37" t="s">
        <v>141</v>
      </c>
      <c r="G7" s="38">
        <v>40</v>
      </c>
      <c r="H7" s="38">
        <v>0</v>
      </c>
      <c r="I7" s="39">
        <v>0</v>
      </c>
      <c r="J7" s="38">
        <v>40</v>
      </c>
      <c r="K7" s="47">
        <v>5.46</v>
      </c>
      <c r="L7" s="40">
        <v>218.4</v>
      </c>
      <c r="M7" s="35" t="s">
        <v>57</v>
      </c>
      <c r="N7" s="35" t="s">
        <v>58</v>
      </c>
      <c r="O7" s="41">
        <v>45350</v>
      </c>
      <c r="P7" s="37"/>
    </row>
    <row r="8" spans="1:16" x14ac:dyDescent="0.2">
      <c r="A8" s="35" t="s">
        <v>61</v>
      </c>
      <c r="B8" s="36">
        <v>45310</v>
      </c>
      <c r="C8" s="35">
        <v>4320024</v>
      </c>
      <c r="D8" s="35" t="s">
        <v>139</v>
      </c>
      <c r="E8" s="35" t="s">
        <v>142</v>
      </c>
      <c r="F8" s="37" t="s">
        <v>143</v>
      </c>
      <c r="G8" s="38">
        <v>40</v>
      </c>
      <c r="H8" s="38">
        <v>0</v>
      </c>
      <c r="I8" s="39">
        <v>0</v>
      </c>
      <c r="J8" s="38">
        <v>40</v>
      </c>
      <c r="K8" s="47">
        <v>9.1199999999999992</v>
      </c>
      <c r="L8" s="40">
        <v>364.79999999999995</v>
      </c>
      <c r="M8" s="35" t="s">
        <v>57</v>
      </c>
      <c r="N8" s="35" t="s">
        <v>58</v>
      </c>
      <c r="O8" s="41">
        <v>45350</v>
      </c>
      <c r="P8" s="37"/>
    </row>
    <row r="9" spans="1:16" x14ac:dyDescent="0.2">
      <c r="A9" s="35" t="s">
        <v>59</v>
      </c>
      <c r="B9" s="36">
        <v>45245</v>
      </c>
      <c r="C9" s="35" t="s">
        <v>79</v>
      </c>
      <c r="D9" s="35" t="s">
        <v>80</v>
      </c>
      <c r="E9" s="35" t="s">
        <v>81</v>
      </c>
      <c r="F9" s="37" t="s">
        <v>82</v>
      </c>
      <c r="G9" s="38">
        <v>640</v>
      </c>
      <c r="H9" s="38">
        <v>102</v>
      </c>
      <c r="I9" s="39">
        <v>0.15937499999999999</v>
      </c>
      <c r="J9" s="38">
        <v>538</v>
      </c>
      <c r="K9" s="47">
        <v>10.33</v>
      </c>
      <c r="L9" s="40">
        <v>5557.54</v>
      </c>
      <c r="M9" s="35" t="s">
        <v>57</v>
      </c>
      <c r="N9" s="35" t="s">
        <v>58</v>
      </c>
      <c r="O9" s="41">
        <v>45343</v>
      </c>
      <c r="P9" s="37"/>
    </row>
    <row r="10" spans="1:16" x14ac:dyDescent="0.2">
      <c r="A10" s="35" t="s">
        <v>59</v>
      </c>
      <c r="B10" s="36">
        <v>45254</v>
      </c>
      <c r="C10" s="35" t="s">
        <v>84</v>
      </c>
      <c r="D10" s="35" t="s">
        <v>85</v>
      </c>
      <c r="E10" s="35" t="s">
        <v>88</v>
      </c>
      <c r="F10" s="37" t="s">
        <v>89</v>
      </c>
      <c r="G10" s="38">
        <v>2000</v>
      </c>
      <c r="H10" s="38">
        <v>60</v>
      </c>
      <c r="I10" s="39">
        <v>0.03</v>
      </c>
      <c r="J10" s="38">
        <v>1940</v>
      </c>
      <c r="K10" s="47">
        <v>2.08</v>
      </c>
      <c r="L10" s="40">
        <v>4035.2000000000003</v>
      </c>
      <c r="M10" s="35" t="s">
        <v>57</v>
      </c>
      <c r="N10" s="35" t="s">
        <v>58</v>
      </c>
      <c r="O10" s="41">
        <v>45343</v>
      </c>
      <c r="P10" s="37"/>
    </row>
    <row r="11" spans="1:16" x14ac:dyDescent="0.2">
      <c r="A11" s="35" t="s">
        <v>59</v>
      </c>
      <c r="B11" s="36">
        <v>45266</v>
      </c>
      <c r="C11" s="35" t="s">
        <v>107</v>
      </c>
      <c r="D11" s="35" t="s">
        <v>108</v>
      </c>
      <c r="E11" s="35" t="s">
        <v>81</v>
      </c>
      <c r="F11" s="37" t="s">
        <v>82</v>
      </c>
      <c r="G11" s="38">
        <v>500</v>
      </c>
      <c r="H11" s="38">
        <v>0</v>
      </c>
      <c r="I11" s="39">
        <v>0</v>
      </c>
      <c r="J11" s="38">
        <v>500</v>
      </c>
      <c r="K11" s="47">
        <v>10.33</v>
      </c>
      <c r="L11" s="40">
        <v>5165</v>
      </c>
      <c r="M11" s="35" t="s">
        <v>57</v>
      </c>
      <c r="N11" s="35" t="s">
        <v>58</v>
      </c>
      <c r="O11" s="41">
        <v>45343</v>
      </c>
      <c r="P11" s="37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81</v>
      </c>
      <c r="F12" s="37" t="s">
        <v>82</v>
      </c>
      <c r="G12" s="38">
        <v>500</v>
      </c>
      <c r="H12" s="38">
        <v>0</v>
      </c>
      <c r="I12" s="39">
        <v>0</v>
      </c>
      <c r="J12" s="38">
        <v>500</v>
      </c>
      <c r="K12" s="47">
        <v>10.33</v>
      </c>
      <c r="L12" s="40">
        <v>5165</v>
      </c>
      <c r="M12" s="35" t="s">
        <v>57</v>
      </c>
      <c r="N12" s="35" t="s">
        <v>58</v>
      </c>
      <c r="O12" s="41">
        <v>45343</v>
      </c>
      <c r="P12" s="37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109</v>
      </c>
      <c r="F13" s="37" t="s">
        <v>110</v>
      </c>
      <c r="G13" s="38">
        <v>250</v>
      </c>
      <c r="H13" s="38">
        <v>200</v>
      </c>
      <c r="I13" s="39">
        <v>0.8</v>
      </c>
      <c r="J13" s="38">
        <v>50</v>
      </c>
      <c r="K13" s="47">
        <v>2.13</v>
      </c>
      <c r="L13" s="40">
        <v>106.5</v>
      </c>
      <c r="M13" s="35" t="s">
        <v>57</v>
      </c>
      <c r="N13" s="35" t="s">
        <v>58</v>
      </c>
      <c r="O13" s="41">
        <v>45343</v>
      </c>
      <c r="P13" s="37"/>
    </row>
    <row r="14" spans="1:16" x14ac:dyDescent="0.2">
      <c r="A14" s="35" t="s">
        <v>59</v>
      </c>
      <c r="B14" s="36">
        <v>45313</v>
      </c>
      <c r="C14" s="35" t="s">
        <v>144</v>
      </c>
      <c r="D14" s="35" t="s">
        <v>145</v>
      </c>
      <c r="E14" s="35" t="s">
        <v>146</v>
      </c>
      <c r="F14" s="37" t="s">
        <v>147</v>
      </c>
      <c r="G14" s="38">
        <v>4520</v>
      </c>
      <c r="H14" s="38">
        <v>1720</v>
      </c>
      <c r="I14" s="39">
        <v>0.38053097345132741</v>
      </c>
      <c r="J14" s="38">
        <v>2800</v>
      </c>
      <c r="K14" s="47">
        <v>7.3</v>
      </c>
      <c r="L14" s="40">
        <v>20440</v>
      </c>
      <c r="M14" s="35" t="s">
        <v>57</v>
      </c>
      <c r="N14" s="35" t="s">
        <v>58</v>
      </c>
      <c r="O14" s="41">
        <v>45362</v>
      </c>
      <c r="P14" s="37"/>
    </row>
    <row r="15" spans="1:16" x14ac:dyDescent="0.2">
      <c r="A15" s="35" t="s">
        <v>59</v>
      </c>
      <c r="B15" s="36">
        <v>45217</v>
      </c>
      <c r="C15" s="35">
        <v>4319698</v>
      </c>
      <c r="D15" s="35" t="s">
        <v>148</v>
      </c>
      <c r="E15" s="35" t="s">
        <v>113</v>
      </c>
      <c r="F15" s="37" t="s">
        <v>114</v>
      </c>
      <c r="G15" s="38">
        <v>2712</v>
      </c>
      <c r="H15" s="38">
        <v>2078</v>
      </c>
      <c r="I15" s="39">
        <v>0.76622418879056042</v>
      </c>
      <c r="J15" s="38">
        <v>634</v>
      </c>
      <c r="K15" s="47">
        <v>17.88</v>
      </c>
      <c r="L15" s="40">
        <v>11335.92</v>
      </c>
      <c r="M15" s="35" t="s">
        <v>57</v>
      </c>
      <c r="N15" s="35" t="s">
        <v>58</v>
      </c>
      <c r="O15" s="60">
        <v>45397</v>
      </c>
      <c r="P15" s="37"/>
    </row>
    <row r="16" spans="1:16" x14ac:dyDescent="0.2">
      <c r="A16" s="35" t="s">
        <v>59</v>
      </c>
      <c r="B16" s="36">
        <v>45254</v>
      </c>
      <c r="C16" s="35" t="s">
        <v>84</v>
      </c>
      <c r="D16" s="35" t="s">
        <v>85</v>
      </c>
      <c r="E16" s="35" t="s">
        <v>86</v>
      </c>
      <c r="F16" s="37" t="s">
        <v>87</v>
      </c>
      <c r="G16" s="38">
        <v>3000</v>
      </c>
      <c r="H16" s="38">
        <v>1040</v>
      </c>
      <c r="I16" s="39">
        <v>0.34666666666666668</v>
      </c>
      <c r="J16" s="38">
        <v>1960</v>
      </c>
      <c r="K16" s="47">
        <v>4.32</v>
      </c>
      <c r="L16" s="40">
        <v>8467.2000000000007</v>
      </c>
      <c r="M16" s="35" t="s">
        <v>57</v>
      </c>
      <c r="N16" s="35" t="s">
        <v>58</v>
      </c>
      <c r="O16" s="60">
        <v>45350</v>
      </c>
      <c r="P16" s="37"/>
    </row>
    <row r="17" spans="1:16" x14ac:dyDescent="0.2">
      <c r="A17" s="35" t="s">
        <v>59</v>
      </c>
      <c r="B17" s="36">
        <v>45267</v>
      </c>
      <c r="C17" s="35" t="s">
        <v>111</v>
      </c>
      <c r="D17" s="35" t="s">
        <v>112</v>
      </c>
      <c r="E17" s="35" t="s">
        <v>113</v>
      </c>
      <c r="F17" s="37" t="s">
        <v>114</v>
      </c>
      <c r="G17" s="38">
        <v>600</v>
      </c>
      <c r="H17" s="38">
        <v>0</v>
      </c>
      <c r="I17" s="39">
        <v>0</v>
      </c>
      <c r="J17" s="38">
        <v>600</v>
      </c>
      <c r="K17" s="47">
        <v>17.88</v>
      </c>
      <c r="L17" s="40">
        <v>10728</v>
      </c>
      <c r="M17" s="35" t="s">
        <v>57</v>
      </c>
      <c r="N17" s="35" t="s">
        <v>58</v>
      </c>
      <c r="O17" s="41">
        <v>45397</v>
      </c>
      <c r="P17" s="37"/>
    </row>
    <row r="18" spans="1:16" x14ac:dyDescent="0.2">
      <c r="A18" s="35" t="s">
        <v>59</v>
      </c>
      <c r="B18" s="36">
        <v>45278</v>
      </c>
      <c r="C18" s="35" t="s">
        <v>105</v>
      </c>
      <c r="D18" s="35" t="s">
        <v>106</v>
      </c>
      <c r="E18" s="35" t="s">
        <v>62</v>
      </c>
      <c r="F18" s="37" t="s">
        <v>63</v>
      </c>
      <c r="G18" s="38">
        <v>300</v>
      </c>
      <c r="H18" s="38">
        <v>180</v>
      </c>
      <c r="I18" s="39">
        <v>0.6</v>
      </c>
      <c r="J18" s="38">
        <v>120</v>
      </c>
      <c r="K18" s="47">
        <v>1.9</v>
      </c>
      <c r="L18" s="40">
        <v>228</v>
      </c>
      <c r="M18" s="35" t="s">
        <v>57</v>
      </c>
      <c r="N18" s="35" t="s">
        <v>58</v>
      </c>
      <c r="O18" s="41">
        <v>45397</v>
      </c>
      <c r="P18" s="37"/>
    </row>
    <row r="19" spans="1:16" x14ac:dyDescent="0.2">
      <c r="A19" s="35" t="s">
        <v>59</v>
      </c>
      <c r="B19" s="36">
        <v>45280</v>
      </c>
      <c r="C19" s="35" t="s">
        <v>115</v>
      </c>
      <c r="D19" s="35" t="s">
        <v>116</v>
      </c>
      <c r="E19" s="35" t="s">
        <v>117</v>
      </c>
      <c r="F19" s="37" t="s">
        <v>118</v>
      </c>
      <c r="G19" s="38">
        <v>1000</v>
      </c>
      <c r="H19" s="38">
        <v>960</v>
      </c>
      <c r="I19" s="39">
        <v>0.96</v>
      </c>
      <c r="J19" s="38">
        <v>40</v>
      </c>
      <c r="K19" s="47">
        <v>10.4</v>
      </c>
      <c r="L19" s="40">
        <v>416</v>
      </c>
      <c r="M19" s="35" t="s">
        <v>57</v>
      </c>
      <c r="N19" s="35" t="s">
        <v>58</v>
      </c>
      <c r="O19" s="41">
        <v>45397</v>
      </c>
      <c r="P19" s="42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81</v>
      </c>
      <c r="F20" s="37" t="s">
        <v>82</v>
      </c>
      <c r="G20" s="38">
        <v>520</v>
      </c>
      <c r="H20" s="38">
        <v>0</v>
      </c>
      <c r="I20" s="39">
        <v>0</v>
      </c>
      <c r="J20" s="38">
        <v>520</v>
      </c>
      <c r="K20" s="47">
        <v>10.33</v>
      </c>
      <c r="L20" s="40">
        <v>5371.6</v>
      </c>
      <c r="M20" s="35" t="s">
        <v>57</v>
      </c>
      <c r="N20" s="35" t="s">
        <v>58</v>
      </c>
      <c r="O20" s="41">
        <v>45350</v>
      </c>
      <c r="P20" s="42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117</v>
      </c>
      <c r="F21" s="37" t="s">
        <v>118</v>
      </c>
      <c r="G21" s="38">
        <v>800</v>
      </c>
      <c r="H21" s="38">
        <v>0</v>
      </c>
      <c r="I21" s="39">
        <v>0</v>
      </c>
      <c r="J21" s="38">
        <v>800</v>
      </c>
      <c r="K21" s="47">
        <v>10.4</v>
      </c>
      <c r="L21" s="40">
        <v>8320</v>
      </c>
      <c r="M21" s="35" t="s">
        <v>57</v>
      </c>
      <c r="N21" s="35" t="s">
        <v>58</v>
      </c>
      <c r="O21" s="41">
        <v>45397</v>
      </c>
      <c r="P21" s="37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140</v>
      </c>
      <c r="F22" s="37" t="s">
        <v>141</v>
      </c>
      <c r="G22" s="38">
        <v>120</v>
      </c>
      <c r="H22" s="38">
        <v>0</v>
      </c>
      <c r="I22" s="39">
        <v>0</v>
      </c>
      <c r="J22" s="38">
        <v>120</v>
      </c>
      <c r="K22" s="47">
        <v>5.46</v>
      </c>
      <c r="L22" s="40">
        <v>655.20000000000005</v>
      </c>
      <c r="M22" s="35" t="s">
        <v>57</v>
      </c>
      <c r="N22" s="35" t="s">
        <v>58</v>
      </c>
      <c r="O22" s="41">
        <v>45350</v>
      </c>
      <c r="P22" s="37"/>
    </row>
    <row r="23" spans="1:16" x14ac:dyDescent="0.2">
      <c r="A23" s="35"/>
      <c r="B23" s="36"/>
      <c r="C23" s="35"/>
      <c r="D23" s="35"/>
      <c r="E23" s="35"/>
      <c r="F23" s="37"/>
      <c r="G23" s="38"/>
      <c r="H23" s="38"/>
      <c r="I23" s="39"/>
      <c r="J23" s="38"/>
      <c r="K23" s="47"/>
      <c r="L23" s="40"/>
      <c r="M23" s="35"/>
      <c r="N23" s="35"/>
      <c r="O23" s="41"/>
      <c r="P23" s="37"/>
    </row>
    <row r="24" spans="1:16" x14ac:dyDescent="0.2">
      <c r="A24" s="35"/>
      <c r="B24" s="36"/>
      <c r="C24" s="35"/>
      <c r="D24" s="35"/>
      <c r="E24" s="35"/>
      <c r="F24" s="37"/>
      <c r="G24" s="38"/>
      <c r="H24" s="38"/>
      <c r="I24" s="39"/>
      <c r="J24" s="38"/>
      <c r="K24" s="47"/>
      <c r="L24" s="40"/>
      <c r="M24" s="35"/>
      <c r="N24" s="35"/>
      <c r="O24" s="41"/>
      <c r="P24" s="37"/>
    </row>
    <row r="25" spans="1:16" x14ac:dyDescent="0.2">
      <c r="A25" s="35"/>
      <c r="B25" s="36"/>
      <c r="C25" s="35"/>
      <c r="D25" s="35"/>
      <c r="E25" s="35"/>
      <c r="F25" s="37"/>
      <c r="G25" s="38"/>
      <c r="H25" s="38"/>
      <c r="I25" s="39"/>
      <c r="J25" s="38"/>
      <c r="K25" s="47"/>
      <c r="L25" s="40"/>
      <c r="M25" s="35"/>
      <c r="N25" s="35"/>
      <c r="O25" s="41"/>
      <c r="P25" s="37"/>
    </row>
    <row r="26" spans="1:16" x14ac:dyDescent="0.2">
      <c r="A26" s="35"/>
      <c r="B26" s="36"/>
      <c r="C26" s="35"/>
      <c r="D26" s="35"/>
      <c r="E26" s="35"/>
      <c r="F26" s="37"/>
      <c r="G26" s="38"/>
      <c r="H26" s="38"/>
      <c r="I26" s="39"/>
      <c r="J26" s="38"/>
      <c r="K26" s="47"/>
      <c r="L26" s="40"/>
      <c r="M26" s="35"/>
      <c r="N26" s="35"/>
      <c r="O26" s="41"/>
      <c r="P26" s="37"/>
    </row>
    <row r="27" spans="1:16" x14ac:dyDescent="0.2">
      <c r="A27" s="35"/>
      <c r="B27" s="36"/>
      <c r="C27" s="35"/>
      <c r="D27" s="35"/>
      <c r="E27" s="35"/>
      <c r="F27" s="37"/>
      <c r="G27" s="38"/>
      <c r="H27" s="38"/>
      <c r="I27" s="39"/>
      <c r="J27" s="38"/>
      <c r="K27" s="47"/>
      <c r="L27" s="40"/>
      <c r="M27" s="35"/>
      <c r="N27" s="35"/>
      <c r="O27" s="41"/>
      <c r="P27" s="37"/>
    </row>
    <row r="28" spans="1:16" x14ac:dyDescent="0.2">
      <c r="A28" s="35"/>
      <c r="B28" s="36"/>
      <c r="C28" s="35"/>
      <c r="D28" s="35"/>
      <c r="E28" s="35"/>
      <c r="F28" s="37"/>
      <c r="G28" s="38"/>
      <c r="H28" s="38"/>
      <c r="I28" s="39"/>
      <c r="J28" s="38"/>
      <c r="K28" s="47"/>
      <c r="L28" s="40"/>
      <c r="M28" s="35"/>
      <c r="N28" s="35"/>
      <c r="O28" s="41"/>
      <c r="P28" s="37"/>
    </row>
    <row r="29" spans="1:16" x14ac:dyDescent="0.2">
      <c r="A29" s="35"/>
      <c r="B29" s="36"/>
      <c r="C29" s="35"/>
      <c r="D29" s="35"/>
      <c r="E29" s="35"/>
      <c r="F29" s="37"/>
      <c r="G29" s="38"/>
      <c r="H29" s="38"/>
      <c r="I29" s="39"/>
      <c r="J29" s="38"/>
      <c r="K29" s="47"/>
      <c r="L29" s="40"/>
      <c r="M29" s="35"/>
      <c r="N29" s="35"/>
      <c r="O29" s="41"/>
      <c r="P29" s="37"/>
    </row>
    <row r="30" spans="1:16" x14ac:dyDescent="0.2">
      <c r="A30" s="35"/>
      <c r="B30" s="36"/>
      <c r="C30" s="35"/>
      <c r="D30" s="35"/>
      <c r="E30" s="35"/>
      <c r="F30" s="37"/>
      <c r="G30" s="38"/>
      <c r="H30" s="38"/>
      <c r="I30" s="39"/>
      <c r="J30" s="38"/>
      <c r="K30" s="47"/>
      <c r="L30" s="40"/>
      <c r="M30" s="35"/>
      <c r="N30" s="35"/>
      <c r="O30" s="41"/>
      <c r="P30" s="37"/>
    </row>
    <row r="31" spans="1:16" x14ac:dyDescent="0.2">
      <c r="A31" s="35"/>
      <c r="B31" s="36"/>
      <c r="C31" s="35"/>
      <c r="D31" s="35"/>
      <c r="E31" s="35"/>
      <c r="F31" s="37"/>
      <c r="G31" s="38"/>
      <c r="H31" s="38"/>
      <c r="I31" s="39"/>
      <c r="J31" s="38"/>
      <c r="K31" s="47"/>
      <c r="L31" s="40"/>
      <c r="M31" s="35"/>
      <c r="N31" s="35"/>
      <c r="O31" s="41"/>
      <c r="P31" s="37"/>
    </row>
    <row r="32" spans="1:16" x14ac:dyDescent="0.2">
      <c r="A32" s="35"/>
      <c r="B32" s="36"/>
      <c r="C32" s="35"/>
      <c r="D32" s="35"/>
      <c r="E32" s="35"/>
      <c r="F32" s="37"/>
      <c r="G32" s="38"/>
      <c r="H32" s="38"/>
      <c r="I32" s="39"/>
      <c r="J32" s="38"/>
      <c r="K32" s="47"/>
      <c r="L32" s="40"/>
      <c r="M32" s="35"/>
      <c r="N32" s="35"/>
      <c r="O32" s="41"/>
      <c r="P32" s="37"/>
    </row>
    <row r="33" spans="1:16" x14ac:dyDescent="0.2">
      <c r="A33" s="35"/>
      <c r="B33" s="36"/>
      <c r="C33" s="35"/>
      <c r="D33" s="35"/>
      <c r="E33" s="35"/>
      <c r="F33" s="37"/>
      <c r="G33" s="38"/>
      <c r="H33" s="38"/>
      <c r="I33" s="39"/>
      <c r="J33" s="38"/>
      <c r="K33" s="47"/>
      <c r="L33" s="40"/>
      <c r="M33" s="35"/>
      <c r="N33" s="35"/>
      <c r="O33" s="41"/>
      <c r="P33" s="37"/>
    </row>
    <row r="34" spans="1:16" x14ac:dyDescent="0.2">
      <c r="A34" s="35"/>
      <c r="B34" s="36"/>
      <c r="C34" s="35"/>
      <c r="D34" s="35"/>
      <c r="E34" s="35"/>
      <c r="F34" s="37"/>
      <c r="G34" s="38"/>
      <c r="H34" s="38"/>
      <c r="I34" s="39"/>
      <c r="J34" s="38"/>
      <c r="K34" s="47"/>
      <c r="L34" s="40"/>
      <c r="M34" s="35"/>
      <c r="N34" s="35"/>
      <c r="O34" s="41"/>
      <c r="P34" s="37"/>
    </row>
    <row r="35" spans="1:16" x14ac:dyDescent="0.2">
      <c r="A35" s="35"/>
      <c r="B35" s="36"/>
      <c r="C35" s="35"/>
      <c r="D35" s="35"/>
      <c r="E35" s="35"/>
      <c r="F35" s="37"/>
      <c r="G35" s="38"/>
      <c r="H35" s="38"/>
      <c r="I35" s="39"/>
      <c r="J35" s="38"/>
      <c r="K35" s="47"/>
      <c r="L35" s="40"/>
      <c r="M35" s="35"/>
      <c r="N35" s="35"/>
      <c r="O35" s="41"/>
      <c r="P35" s="37"/>
    </row>
    <row r="36" spans="1:16" x14ac:dyDescent="0.2">
      <c r="A36" s="35"/>
      <c r="B36" s="36"/>
      <c r="C36" s="35"/>
      <c r="D36" s="35"/>
      <c r="E36" s="35"/>
      <c r="F36" s="37"/>
      <c r="G36" s="38"/>
      <c r="H36" s="38"/>
      <c r="I36" s="39"/>
      <c r="J36" s="38"/>
      <c r="K36" s="47"/>
      <c r="L36" s="40"/>
      <c r="M36" s="35"/>
      <c r="N36" s="35"/>
      <c r="O36" s="41"/>
      <c r="P36" s="37"/>
    </row>
    <row r="37" spans="1:16" x14ac:dyDescent="0.2">
      <c r="A37" s="35"/>
      <c r="B37" s="36"/>
      <c r="C37" s="35"/>
      <c r="D37" s="35"/>
      <c r="E37" s="35"/>
      <c r="F37" s="37"/>
      <c r="G37" s="38"/>
      <c r="H37" s="38"/>
      <c r="I37" s="39"/>
      <c r="J37" s="38"/>
      <c r="K37" s="47"/>
      <c r="L37" s="40"/>
      <c r="M37" s="35"/>
      <c r="N37" s="35"/>
      <c r="O37" s="41"/>
      <c r="P37" s="37"/>
    </row>
    <row r="38" spans="1:16" x14ac:dyDescent="0.2">
      <c r="A38" s="35"/>
      <c r="B38" s="36"/>
      <c r="C38" s="35"/>
      <c r="D38" s="35"/>
      <c r="E38" s="35"/>
      <c r="F38" s="37"/>
      <c r="G38" s="38"/>
      <c r="H38" s="38"/>
      <c r="I38" s="39"/>
      <c r="J38" s="38"/>
      <c r="K38" s="47"/>
      <c r="L38" s="40"/>
      <c r="M38" s="35"/>
      <c r="N38" s="35"/>
      <c r="O38" s="41"/>
      <c r="P38" s="37"/>
    </row>
    <row r="39" spans="1:16" x14ac:dyDescent="0.2">
      <c r="A39" s="35"/>
      <c r="B39" s="36"/>
      <c r="C39" s="35"/>
      <c r="D39" s="35"/>
      <c r="E39" s="35"/>
      <c r="F39" s="37"/>
      <c r="G39" s="38"/>
      <c r="H39" s="38"/>
      <c r="I39" s="39"/>
      <c r="J39" s="38"/>
      <c r="K39" s="47"/>
      <c r="L39" s="40"/>
      <c r="M39" s="35"/>
      <c r="N39" s="35"/>
      <c r="O39" s="41"/>
      <c r="P39" s="37"/>
    </row>
    <row r="40" spans="1:16" x14ac:dyDescent="0.2">
      <c r="A40" s="35"/>
      <c r="B40" s="36"/>
      <c r="C40" s="35"/>
      <c r="D40" s="35"/>
      <c r="E40" s="35"/>
      <c r="F40" s="37"/>
      <c r="G40" s="38"/>
      <c r="H40" s="38"/>
      <c r="I40" s="39"/>
      <c r="J40" s="38"/>
      <c r="K40" s="47"/>
      <c r="L40" s="40"/>
      <c r="M40" s="35"/>
      <c r="N40" s="35"/>
      <c r="O40" s="41"/>
      <c r="P40" s="37"/>
    </row>
    <row r="41" spans="1:16" x14ac:dyDescent="0.2">
      <c r="A41" s="35"/>
      <c r="B41" s="36"/>
      <c r="C41" s="35"/>
      <c r="D41" s="35"/>
      <c r="E41" s="35"/>
      <c r="F41" s="37"/>
      <c r="G41" s="38"/>
      <c r="H41" s="38"/>
      <c r="I41" s="39"/>
      <c r="J41" s="38"/>
      <c r="K41" s="47"/>
      <c r="L41" s="40"/>
      <c r="M41" s="35"/>
      <c r="N41" s="35"/>
      <c r="O41" s="41"/>
      <c r="P41" s="37"/>
    </row>
    <row r="42" spans="1:16" x14ac:dyDescent="0.2">
      <c r="A42" s="35"/>
      <c r="B42" s="36"/>
      <c r="C42" s="35"/>
      <c r="D42" s="35"/>
      <c r="E42" s="35"/>
      <c r="F42" s="37"/>
      <c r="G42" s="38"/>
      <c r="H42" s="38"/>
      <c r="I42" s="39"/>
      <c r="J42" s="38"/>
      <c r="K42" s="47"/>
      <c r="L42" s="40"/>
      <c r="M42" s="35"/>
      <c r="N42" s="35"/>
      <c r="O42" s="41"/>
      <c r="P42" s="37"/>
    </row>
    <row r="43" spans="1:16" x14ac:dyDescent="0.2">
      <c r="A43" s="35"/>
      <c r="B43" s="36"/>
      <c r="C43" s="35"/>
      <c r="D43" s="35"/>
      <c r="E43" s="35"/>
      <c r="F43" s="37"/>
      <c r="G43" s="38"/>
      <c r="H43" s="38"/>
      <c r="I43" s="39"/>
      <c r="J43" s="38"/>
      <c r="K43" s="47"/>
      <c r="L43" s="40"/>
      <c r="M43" s="35"/>
      <c r="N43" s="35"/>
      <c r="O43" s="41"/>
      <c r="P43" s="37"/>
    </row>
    <row r="44" spans="1:16" x14ac:dyDescent="0.2">
      <c r="A44" s="35"/>
      <c r="B44" s="36"/>
      <c r="C44" s="35"/>
      <c r="D44" s="35"/>
      <c r="E44" s="35"/>
      <c r="F44" s="37"/>
      <c r="G44" s="38"/>
      <c r="H44" s="38"/>
      <c r="I44" s="39"/>
      <c r="J44" s="38"/>
      <c r="K44" s="47"/>
      <c r="L44" s="40"/>
      <c r="M44" s="35"/>
      <c r="N44" s="35"/>
      <c r="O44" s="41"/>
      <c r="P44" s="37"/>
    </row>
  </sheetData>
  <autoFilter ref="A2:O14" xr:uid="{00000000-0001-0000-0000-000000000000}">
    <sortState xmlns:xlrd2="http://schemas.microsoft.com/office/spreadsheetml/2017/richdata2" ref="A3:O14">
      <sortCondition ref="A2:A14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A80-5574-4226-94E3-715722F9FEB7}">
  <sheetPr>
    <tabColor theme="3" tint="0.39997558519241921"/>
    <pageSetUpPr fitToPage="1"/>
  </sheetPr>
  <dimension ref="A1:P140"/>
  <sheetViews>
    <sheetView zoomScale="90" zoomScaleNormal="90" workbookViewId="0">
      <pane ySplit="2" topLeftCell="A3" activePane="bottomLeft" state="frozen"/>
      <selection activeCell="F33" sqref="F33"/>
      <selection pane="bottomLeft" activeCell="F33" sqref="F33"/>
    </sheetView>
  </sheetViews>
  <sheetFormatPr defaultColWidth="8.85546875" defaultRowHeight="12.75" x14ac:dyDescent="0.2"/>
  <cols>
    <col min="1" max="1" width="14.42578125" style="28" customWidth="1"/>
    <col min="2" max="2" width="12.7109375" style="27" hidden="1" customWidth="1"/>
    <col min="3" max="3" width="14.28515625" style="28" customWidth="1"/>
    <col min="4" max="4" width="13.5703125" style="28" customWidth="1"/>
    <col min="5" max="5" width="20.42578125" style="28" customWidth="1"/>
    <col min="6" max="6" width="53.7109375" style="29" customWidth="1"/>
    <col min="7" max="8" width="8.85546875" style="28"/>
    <col min="9" max="9" width="10" style="28" customWidth="1"/>
    <col min="10" max="10" width="10.28515625" style="28" customWidth="1"/>
    <col min="11" max="11" width="8.85546875" style="28"/>
    <col min="12" max="12" width="11" style="28" customWidth="1"/>
    <col min="13" max="14" width="8.85546875" style="28"/>
    <col min="15" max="15" width="12.5703125" style="28" customWidth="1"/>
    <col min="16" max="16" width="59.140625" style="29" customWidth="1"/>
    <col min="17" max="16384" width="8.85546875" style="29"/>
  </cols>
  <sheetData>
    <row r="1" spans="1:16" ht="30" customHeight="1" x14ac:dyDescent="0.2">
      <c r="A1" s="26" t="s">
        <v>55</v>
      </c>
      <c r="K1" s="30" t="s">
        <v>44</v>
      </c>
      <c r="L1" s="31">
        <f>SUM(L3:L136)</f>
        <v>69813.24000000002</v>
      </c>
    </row>
    <row r="2" spans="1:16" s="34" customFormat="1" ht="25.5" x14ac:dyDescent="0.2">
      <c r="A2" s="43" t="s">
        <v>46</v>
      </c>
      <c r="B2" s="44" t="s">
        <v>47</v>
      </c>
      <c r="C2" s="43" t="s">
        <v>48</v>
      </c>
      <c r="D2" s="43" t="s">
        <v>1</v>
      </c>
      <c r="E2" s="43" t="s">
        <v>37</v>
      </c>
      <c r="F2" s="43" t="s">
        <v>49</v>
      </c>
      <c r="G2" s="43" t="s">
        <v>3</v>
      </c>
      <c r="H2" s="43" t="s">
        <v>4</v>
      </c>
      <c r="I2" s="43" t="s">
        <v>50</v>
      </c>
      <c r="J2" s="43" t="s">
        <v>6</v>
      </c>
      <c r="K2" s="43" t="s">
        <v>51</v>
      </c>
      <c r="L2" s="43" t="s">
        <v>52</v>
      </c>
      <c r="M2" s="43" t="s">
        <v>53</v>
      </c>
      <c r="N2" s="43"/>
      <c r="O2" s="43" t="s">
        <v>54</v>
      </c>
      <c r="P2" s="43" t="s">
        <v>9</v>
      </c>
    </row>
    <row r="3" spans="1:16" x14ac:dyDescent="0.2">
      <c r="A3" s="35" t="s">
        <v>61</v>
      </c>
      <c r="B3" s="36">
        <v>45313</v>
      </c>
      <c r="C3" s="35">
        <v>4320033</v>
      </c>
      <c r="D3" s="35" t="s">
        <v>149</v>
      </c>
      <c r="E3" s="35" t="s">
        <v>150</v>
      </c>
      <c r="F3" s="37" t="s">
        <v>151</v>
      </c>
      <c r="G3" s="38">
        <v>600</v>
      </c>
      <c r="H3" s="38">
        <v>0</v>
      </c>
      <c r="I3" s="39">
        <v>7.0000000000000007E-2</v>
      </c>
      <c r="J3" s="38">
        <v>582</v>
      </c>
      <c r="K3" s="38">
        <v>14.3</v>
      </c>
      <c r="L3" s="40">
        <v>8580</v>
      </c>
      <c r="M3" s="35" t="s">
        <v>64</v>
      </c>
      <c r="N3" s="35" t="s">
        <v>65</v>
      </c>
      <c r="O3" s="60">
        <v>45373</v>
      </c>
      <c r="P3" s="37"/>
    </row>
    <row r="4" spans="1:16" x14ac:dyDescent="0.2">
      <c r="A4" s="35" t="s">
        <v>61</v>
      </c>
      <c r="B4" s="36">
        <v>45295</v>
      </c>
      <c r="C4" s="35" t="s">
        <v>98</v>
      </c>
      <c r="D4" s="35" t="s">
        <v>99</v>
      </c>
      <c r="E4" s="35" t="s">
        <v>119</v>
      </c>
      <c r="F4" s="37" t="s">
        <v>120</v>
      </c>
      <c r="G4" s="38">
        <v>250</v>
      </c>
      <c r="H4" s="38">
        <v>0</v>
      </c>
      <c r="I4" s="39">
        <v>0</v>
      </c>
      <c r="J4" s="38">
        <v>250</v>
      </c>
      <c r="K4" s="38">
        <v>0.82</v>
      </c>
      <c r="L4" s="40">
        <v>205</v>
      </c>
      <c r="M4" s="35" t="s">
        <v>64</v>
      </c>
      <c r="N4" s="35" t="s">
        <v>65</v>
      </c>
      <c r="O4" s="60">
        <v>45394</v>
      </c>
      <c r="P4" s="60"/>
    </row>
    <row r="5" spans="1:16" x14ac:dyDescent="0.2">
      <c r="A5" s="35" t="s">
        <v>61</v>
      </c>
      <c r="B5" s="36">
        <v>45254</v>
      </c>
      <c r="C5" s="35" t="s">
        <v>93</v>
      </c>
      <c r="D5" s="35" t="s">
        <v>83</v>
      </c>
      <c r="E5" s="35" t="s">
        <v>103</v>
      </c>
      <c r="F5" s="37" t="s">
        <v>104</v>
      </c>
      <c r="G5" s="38">
        <v>144</v>
      </c>
      <c r="H5" s="38">
        <v>0</v>
      </c>
      <c r="I5" s="39">
        <v>0</v>
      </c>
      <c r="J5" s="38">
        <v>144</v>
      </c>
      <c r="K5" s="38">
        <v>2.8</v>
      </c>
      <c r="L5" s="40">
        <v>403.2</v>
      </c>
      <c r="M5" s="35" t="s">
        <v>10</v>
      </c>
      <c r="N5" s="35" t="s">
        <v>58</v>
      </c>
      <c r="O5" s="60">
        <v>45408</v>
      </c>
      <c r="P5" s="60"/>
    </row>
    <row r="6" spans="1:16" x14ac:dyDescent="0.2">
      <c r="A6" s="35" t="s">
        <v>59</v>
      </c>
      <c r="B6" s="36">
        <v>45254</v>
      </c>
      <c r="C6" s="35" t="s">
        <v>84</v>
      </c>
      <c r="D6" s="35" t="s">
        <v>85</v>
      </c>
      <c r="E6" s="35" t="s">
        <v>90</v>
      </c>
      <c r="F6" s="37" t="s">
        <v>91</v>
      </c>
      <c r="G6" s="38">
        <v>301</v>
      </c>
      <c r="H6" s="38">
        <v>49</v>
      </c>
      <c r="I6" s="39">
        <v>0.16279069767441862</v>
      </c>
      <c r="J6" s="38">
        <v>252</v>
      </c>
      <c r="K6" s="38">
        <v>11.08</v>
      </c>
      <c r="L6" s="40">
        <v>2792.16</v>
      </c>
      <c r="M6" s="35" t="s">
        <v>64</v>
      </c>
      <c r="N6" s="35" t="s">
        <v>58</v>
      </c>
      <c r="O6" s="60" t="s">
        <v>152</v>
      </c>
      <c r="P6" s="60"/>
    </row>
    <row r="7" spans="1:16" x14ac:dyDescent="0.2">
      <c r="A7" s="35" t="s">
        <v>59</v>
      </c>
      <c r="B7" s="36">
        <v>45266</v>
      </c>
      <c r="C7" s="35" t="s">
        <v>107</v>
      </c>
      <c r="D7" s="35" t="s">
        <v>108</v>
      </c>
      <c r="E7" s="35" t="s">
        <v>121</v>
      </c>
      <c r="F7" s="37" t="s">
        <v>122</v>
      </c>
      <c r="G7" s="38">
        <v>30</v>
      </c>
      <c r="H7" s="38">
        <v>0</v>
      </c>
      <c r="I7" s="39">
        <v>0</v>
      </c>
      <c r="J7" s="38">
        <v>30</v>
      </c>
      <c r="K7" s="38">
        <v>7.39</v>
      </c>
      <c r="L7" s="40">
        <v>221.7</v>
      </c>
      <c r="M7" s="35" t="s">
        <v>64</v>
      </c>
      <c r="N7" s="35" t="s">
        <v>60</v>
      </c>
      <c r="O7" s="60" t="s">
        <v>92</v>
      </c>
      <c r="P7" s="60"/>
    </row>
    <row r="8" spans="1:16" x14ac:dyDescent="0.2">
      <c r="A8" s="35" t="s">
        <v>59</v>
      </c>
      <c r="B8" s="36">
        <v>45266</v>
      </c>
      <c r="C8" s="35" t="s">
        <v>107</v>
      </c>
      <c r="D8" s="35" t="s">
        <v>108</v>
      </c>
      <c r="E8" s="35" t="s">
        <v>123</v>
      </c>
      <c r="F8" s="37" t="s">
        <v>124</v>
      </c>
      <c r="G8" s="38">
        <v>30</v>
      </c>
      <c r="H8" s="38">
        <v>4</v>
      </c>
      <c r="I8" s="39">
        <v>0.13333333333333333</v>
      </c>
      <c r="J8" s="38">
        <v>26</v>
      </c>
      <c r="K8" s="38">
        <v>13.49</v>
      </c>
      <c r="L8" s="40">
        <v>350.74</v>
      </c>
      <c r="M8" s="35" t="s">
        <v>10</v>
      </c>
      <c r="N8" s="35" t="s">
        <v>60</v>
      </c>
      <c r="O8" s="60" t="s">
        <v>92</v>
      </c>
      <c r="P8" s="60"/>
    </row>
    <row r="9" spans="1:16" x14ac:dyDescent="0.2">
      <c r="A9" s="35" t="s">
        <v>59</v>
      </c>
      <c r="B9" s="36">
        <v>45266</v>
      </c>
      <c r="C9" s="35" t="s">
        <v>107</v>
      </c>
      <c r="D9" s="35" t="s">
        <v>108</v>
      </c>
      <c r="E9" s="35" t="s">
        <v>125</v>
      </c>
      <c r="F9" s="37" t="s">
        <v>126</v>
      </c>
      <c r="G9" s="38">
        <v>30</v>
      </c>
      <c r="H9" s="38">
        <v>0</v>
      </c>
      <c r="I9" s="39">
        <v>0</v>
      </c>
      <c r="J9" s="38">
        <v>30</v>
      </c>
      <c r="K9" s="38">
        <v>6.72</v>
      </c>
      <c r="L9" s="40">
        <v>201.6</v>
      </c>
      <c r="M9" s="35" t="s">
        <v>64</v>
      </c>
      <c r="N9" s="35" t="s">
        <v>60</v>
      </c>
      <c r="O9" s="60" t="s">
        <v>92</v>
      </c>
      <c r="P9" s="60"/>
    </row>
    <row r="10" spans="1:16" x14ac:dyDescent="0.2">
      <c r="A10" s="35" t="s">
        <v>59</v>
      </c>
      <c r="B10" s="36">
        <v>45266</v>
      </c>
      <c r="C10" s="35" t="s">
        <v>107</v>
      </c>
      <c r="D10" s="35" t="s">
        <v>108</v>
      </c>
      <c r="E10" s="35" t="s">
        <v>127</v>
      </c>
      <c r="F10" s="37" t="s">
        <v>128</v>
      </c>
      <c r="G10" s="38">
        <v>30</v>
      </c>
      <c r="H10" s="38">
        <v>4</v>
      </c>
      <c r="I10" s="39">
        <v>0.13333333333333333</v>
      </c>
      <c r="J10" s="38">
        <v>26</v>
      </c>
      <c r="K10" s="38">
        <v>12.27</v>
      </c>
      <c r="L10" s="40">
        <v>319.02</v>
      </c>
      <c r="M10" s="35" t="s">
        <v>64</v>
      </c>
      <c r="N10" s="35" t="s">
        <v>60</v>
      </c>
      <c r="O10" s="60" t="s">
        <v>92</v>
      </c>
      <c r="P10" s="60"/>
    </row>
    <row r="11" spans="1:16" x14ac:dyDescent="0.2">
      <c r="A11" s="35" t="s">
        <v>59</v>
      </c>
      <c r="B11" s="36">
        <v>45278</v>
      </c>
      <c r="C11" s="35" t="s">
        <v>105</v>
      </c>
      <c r="D11" s="35" t="s">
        <v>106</v>
      </c>
      <c r="E11" s="35" t="s">
        <v>129</v>
      </c>
      <c r="F11" s="37" t="s">
        <v>130</v>
      </c>
      <c r="G11" s="38">
        <v>30</v>
      </c>
      <c r="H11" s="38">
        <v>2</v>
      </c>
      <c r="I11" s="39">
        <v>6.6666666666666666E-2</v>
      </c>
      <c r="J11" s="38">
        <v>28</v>
      </c>
      <c r="K11" s="38">
        <v>13.49</v>
      </c>
      <c r="L11" s="40">
        <v>377.72</v>
      </c>
      <c r="M11" s="35" t="s">
        <v>64</v>
      </c>
      <c r="N11" s="35" t="s">
        <v>60</v>
      </c>
      <c r="O11" s="60" t="s">
        <v>92</v>
      </c>
      <c r="P11" s="60"/>
    </row>
    <row r="12" spans="1:16" x14ac:dyDescent="0.2">
      <c r="A12" s="35" t="s">
        <v>59</v>
      </c>
      <c r="B12" s="36">
        <v>45278</v>
      </c>
      <c r="C12" s="35" t="s">
        <v>105</v>
      </c>
      <c r="D12" s="35" t="s">
        <v>106</v>
      </c>
      <c r="E12" s="35" t="s">
        <v>121</v>
      </c>
      <c r="F12" s="37" t="s">
        <v>122</v>
      </c>
      <c r="G12" s="38">
        <v>30</v>
      </c>
      <c r="H12" s="38">
        <v>0</v>
      </c>
      <c r="I12" s="39">
        <v>0</v>
      </c>
      <c r="J12" s="38">
        <v>30</v>
      </c>
      <c r="K12" s="38">
        <v>7.39</v>
      </c>
      <c r="L12" s="40">
        <v>221.7</v>
      </c>
      <c r="M12" s="35" t="s">
        <v>64</v>
      </c>
      <c r="N12" s="35" t="s">
        <v>60</v>
      </c>
      <c r="O12" s="60" t="s">
        <v>92</v>
      </c>
      <c r="P12" s="60"/>
    </row>
    <row r="13" spans="1:16" x14ac:dyDescent="0.2">
      <c r="A13" s="35" t="s">
        <v>59</v>
      </c>
      <c r="B13" s="36">
        <v>45278</v>
      </c>
      <c r="C13" s="35" t="s">
        <v>105</v>
      </c>
      <c r="D13" s="35" t="s">
        <v>106</v>
      </c>
      <c r="E13" s="35" t="s">
        <v>123</v>
      </c>
      <c r="F13" s="37" t="s">
        <v>124</v>
      </c>
      <c r="G13" s="38">
        <v>30</v>
      </c>
      <c r="H13" s="38">
        <v>0</v>
      </c>
      <c r="I13" s="39">
        <v>0</v>
      </c>
      <c r="J13" s="38">
        <v>30</v>
      </c>
      <c r="K13" s="38">
        <v>13.49</v>
      </c>
      <c r="L13" s="40">
        <v>404.7</v>
      </c>
      <c r="M13" s="35" t="s">
        <v>10</v>
      </c>
      <c r="N13" s="35" t="s">
        <v>60</v>
      </c>
      <c r="O13" s="60" t="s">
        <v>92</v>
      </c>
      <c r="P13" s="60"/>
    </row>
    <row r="14" spans="1:16" x14ac:dyDescent="0.2">
      <c r="A14" s="35" t="s">
        <v>59</v>
      </c>
      <c r="B14" s="36">
        <v>45278</v>
      </c>
      <c r="C14" s="35" t="s">
        <v>105</v>
      </c>
      <c r="D14" s="35" t="s">
        <v>106</v>
      </c>
      <c r="E14" s="35" t="s">
        <v>125</v>
      </c>
      <c r="F14" s="37" t="s">
        <v>126</v>
      </c>
      <c r="G14" s="38">
        <v>30</v>
      </c>
      <c r="H14" s="38">
        <v>0</v>
      </c>
      <c r="I14" s="39">
        <v>0</v>
      </c>
      <c r="J14" s="38">
        <v>30</v>
      </c>
      <c r="K14" s="38">
        <v>6.72</v>
      </c>
      <c r="L14" s="40">
        <v>201.6</v>
      </c>
      <c r="M14" s="35" t="s">
        <v>64</v>
      </c>
      <c r="N14" s="35" t="s">
        <v>60</v>
      </c>
      <c r="O14" s="60" t="s">
        <v>92</v>
      </c>
      <c r="P14" s="60"/>
    </row>
    <row r="15" spans="1:16" x14ac:dyDescent="0.2">
      <c r="A15" s="35" t="s">
        <v>59</v>
      </c>
      <c r="B15" s="36">
        <v>45278</v>
      </c>
      <c r="C15" s="35" t="s">
        <v>105</v>
      </c>
      <c r="D15" s="35" t="s">
        <v>106</v>
      </c>
      <c r="E15" s="35" t="s">
        <v>127</v>
      </c>
      <c r="F15" s="37" t="s">
        <v>128</v>
      </c>
      <c r="G15" s="38">
        <v>30</v>
      </c>
      <c r="H15" s="38">
        <v>0</v>
      </c>
      <c r="I15" s="39">
        <v>0</v>
      </c>
      <c r="J15" s="38">
        <v>30</v>
      </c>
      <c r="K15" s="38">
        <v>12.27</v>
      </c>
      <c r="L15" s="40">
        <v>368.09999999999997</v>
      </c>
      <c r="M15" s="35" t="s">
        <v>64</v>
      </c>
      <c r="N15" s="35" t="s">
        <v>60</v>
      </c>
      <c r="O15" s="60" t="s">
        <v>92</v>
      </c>
      <c r="P15" s="60"/>
    </row>
    <row r="16" spans="1:16" x14ac:dyDescent="0.2">
      <c r="A16" s="35" t="s">
        <v>59</v>
      </c>
      <c r="B16" s="36">
        <v>45308</v>
      </c>
      <c r="C16" s="35">
        <v>4319948</v>
      </c>
      <c r="D16" s="35" t="s">
        <v>153</v>
      </c>
      <c r="E16" s="35" t="s">
        <v>100</v>
      </c>
      <c r="F16" s="37" t="s">
        <v>101</v>
      </c>
      <c r="G16" s="38">
        <v>300</v>
      </c>
      <c r="H16" s="38">
        <v>0</v>
      </c>
      <c r="I16" s="39">
        <v>0</v>
      </c>
      <c r="J16" s="38">
        <v>300</v>
      </c>
      <c r="K16" s="38">
        <v>52.58</v>
      </c>
      <c r="L16" s="40">
        <v>15774</v>
      </c>
      <c r="M16" s="35" t="s">
        <v>64</v>
      </c>
      <c r="N16" s="35" t="s">
        <v>58</v>
      </c>
      <c r="O16" s="60" t="s">
        <v>154</v>
      </c>
      <c r="P16" s="60"/>
    </row>
    <row r="17" spans="1:16" x14ac:dyDescent="0.2">
      <c r="A17" s="35" t="s">
        <v>59</v>
      </c>
      <c r="B17" s="36">
        <v>45308</v>
      </c>
      <c r="C17" s="35">
        <v>4319948</v>
      </c>
      <c r="D17" s="35" t="s">
        <v>153</v>
      </c>
      <c r="E17" s="35" t="s">
        <v>131</v>
      </c>
      <c r="F17" s="37" t="s">
        <v>132</v>
      </c>
      <c r="G17" s="38">
        <v>100</v>
      </c>
      <c r="H17" s="38">
        <v>0</v>
      </c>
      <c r="I17" s="39">
        <v>0</v>
      </c>
      <c r="J17" s="38">
        <v>100</v>
      </c>
      <c r="K17" s="38">
        <v>60.65</v>
      </c>
      <c r="L17" s="40">
        <v>6065</v>
      </c>
      <c r="M17" s="35" t="s">
        <v>64</v>
      </c>
      <c r="N17" s="35" t="s">
        <v>60</v>
      </c>
      <c r="O17" s="60" t="s">
        <v>154</v>
      </c>
      <c r="P17" s="60"/>
    </row>
    <row r="18" spans="1:16" x14ac:dyDescent="0.2">
      <c r="A18" s="35" t="s">
        <v>59</v>
      </c>
      <c r="B18" s="36">
        <v>45308</v>
      </c>
      <c r="C18" s="35">
        <v>4319948</v>
      </c>
      <c r="D18" s="35" t="s">
        <v>153</v>
      </c>
      <c r="E18" s="35" t="s">
        <v>155</v>
      </c>
      <c r="F18" s="37" t="s">
        <v>156</v>
      </c>
      <c r="G18" s="38">
        <v>20</v>
      </c>
      <c r="H18" s="38">
        <v>0</v>
      </c>
      <c r="I18" s="39">
        <v>0</v>
      </c>
      <c r="J18" s="38">
        <v>20</v>
      </c>
      <c r="K18" s="38">
        <v>94.56</v>
      </c>
      <c r="L18" s="40">
        <v>1891.2</v>
      </c>
      <c r="M18" s="35" t="s">
        <v>64</v>
      </c>
      <c r="N18" s="35" t="s">
        <v>60</v>
      </c>
      <c r="O18" s="60" t="s">
        <v>154</v>
      </c>
      <c r="P18" s="60"/>
    </row>
    <row r="19" spans="1:16" x14ac:dyDescent="0.2">
      <c r="A19" s="35" t="s">
        <v>59</v>
      </c>
      <c r="B19" s="36">
        <v>45308</v>
      </c>
      <c r="C19" s="35">
        <v>4319948</v>
      </c>
      <c r="D19" s="35" t="s">
        <v>153</v>
      </c>
      <c r="E19" s="35" t="s">
        <v>133</v>
      </c>
      <c r="F19" s="37" t="s">
        <v>134</v>
      </c>
      <c r="G19" s="38">
        <v>100</v>
      </c>
      <c r="H19" s="38">
        <v>99</v>
      </c>
      <c r="I19" s="39">
        <v>0.99</v>
      </c>
      <c r="J19" s="38">
        <v>1</v>
      </c>
      <c r="K19" s="38">
        <v>28.47</v>
      </c>
      <c r="L19" s="40">
        <v>28.47</v>
      </c>
      <c r="M19" s="35" t="s">
        <v>64</v>
      </c>
      <c r="N19" s="35" t="s">
        <v>60</v>
      </c>
      <c r="O19" s="60" t="s">
        <v>154</v>
      </c>
      <c r="P19" s="60"/>
    </row>
    <row r="20" spans="1:16" x14ac:dyDescent="0.2">
      <c r="A20" s="35" t="s">
        <v>59</v>
      </c>
      <c r="B20" s="36">
        <v>45313</v>
      </c>
      <c r="C20" s="35" t="s">
        <v>144</v>
      </c>
      <c r="D20" s="35" t="s">
        <v>145</v>
      </c>
      <c r="E20" s="35" t="s">
        <v>129</v>
      </c>
      <c r="F20" s="37" t="s">
        <v>130</v>
      </c>
      <c r="G20" s="38">
        <v>60</v>
      </c>
      <c r="H20" s="38">
        <v>0</v>
      </c>
      <c r="I20" s="39">
        <v>0</v>
      </c>
      <c r="J20" s="38">
        <v>60</v>
      </c>
      <c r="K20" s="38">
        <v>13.49</v>
      </c>
      <c r="L20" s="40">
        <v>809.4</v>
      </c>
      <c r="M20" s="35" t="s">
        <v>64</v>
      </c>
      <c r="N20" s="35" t="s">
        <v>60</v>
      </c>
      <c r="O20" s="60" t="s">
        <v>92</v>
      </c>
      <c r="P20" s="60"/>
    </row>
    <row r="21" spans="1:16" x14ac:dyDescent="0.2">
      <c r="A21" s="35" t="s">
        <v>59</v>
      </c>
      <c r="B21" s="36">
        <v>45313</v>
      </c>
      <c r="C21" s="35" t="s">
        <v>144</v>
      </c>
      <c r="D21" s="35" t="s">
        <v>145</v>
      </c>
      <c r="E21" s="35" t="s">
        <v>121</v>
      </c>
      <c r="F21" s="37" t="s">
        <v>122</v>
      </c>
      <c r="G21" s="38">
        <v>60</v>
      </c>
      <c r="H21" s="38">
        <v>0</v>
      </c>
      <c r="I21" s="39">
        <v>0</v>
      </c>
      <c r="J21" s="38">
        <v>60</v>
      </c>
      <c r="K21" s="38">
        <v>7.39</v>
      </c>
      <c r="L21" s="40">
        <v>443.4</v>
      </c>
      <c r="M21" s="35" t="s">
        <v>64</v>
      </c>
      <c r="N21" s="35" t="s">
        <v>60</v>
      </c>
      <c r="O21" s="60" t="s">
        <v>92</v>
      </c>
      <c r="P21" s="60"/>
    </row>
    <row r="22" spans="1:16" x14ac:dyDescent="0.2">
      <c r="A22" s="35" t="s">
        <v>59</v>
      </c>
      <c r="B22" s="36">
        <v>45313</v>
      </c>
      <c r="C22" s="35" t="s">
        <v>144</v>
      </c>
      <c r="D22" s="35" t="s">
        <v>145</v>
      </c>
      <c r="E22" s="35" t="s">
        <v>123</v>
      </c>
      <c r="F22" s="37" t="s">
        <v>124</v>
      </c>
      <c r="G22" s="38">
        <v>60</v>
      </c>
      <c r="H22" s="38">
        <v>0</v>
      </c>
      <c r="I22" s="39">
        <v>0</v>
      </c>
      <c r="J22" s="38">
        <v>60</v>
      </c>
      <c r="K22" s="38">
        <v>13.49</v>
      </c>
      <c r="L22" s="40">
        <v>809.4</v>
      </c>
      <c r="M22" s="35" t="s">
        <v>10</v>
      </c>
      <c r="N22" s="35" t="s">
        <v>60</v>
      </c>
      <c r="O22" s="60" t="s">
        <v>92</v>
      </c>
      <c r="P22" s="60"/>
    </row>
    <row r="23" spans="1:16" x14ac:dyDescent="0.2">
      <c r="A23" s="35" t="s">
        <v>59</v>
      </c>
      <c r="B23" s="36">
        <v>45313</v>
      </c>
      <c r="C23" s="35" t="s">
        <v>144</v>
      </c>
      <c r="D23" s="35" t="s">
        <v>145</v>
      </c>
      <c r="E23" s="35" t="s">
        <v>125</v>
      </c>
      <c r="F23" s="37" t="s">
        <v>126</v>
      </c>
      <c r="G23" s="38">
        <v>60</v>
      </c>
      <c r="H23" s="38">
        <v>0</v>
      </c>
      <c r="I23" s="39">
        <v>0</v>
      </c>
      <c r="J23" s="38">
        <v>60</v>
      </c>
      <c r="K23" s="38">
        <v>6.72</v>
      </c>
      <c r="L23" s="40">
        <v>403.2</v>
      </c>
      <c r="M23" s="35" t="s">
        <v>64</v>
      </c>
      <c r="N23" s="35" t="s">
        <v>60</v>
      </c>
      <c r="O23" s="60" t="s">
        <v>92</v>
      </c>
      <c r="P23" s="60"/>
    </row>
    <row r="24" spans="1:16" x14ac:dyDescent="0.2">
      <c r="A24" s="35" t="s">
        <v>59</v>
      </c>
      <c r="B24" s="36">
        <v>45313</v>
      </c>
      <c r="C24" s="35" t="s">
        <v>144</v>
      </c>
      <c r="D24" s="35" t="s">
        <v>145</v>
      </c>
      <c r="E24" s="35" t="s">
        <v>127</v>
      </c>
      <c r="F24" s="37" t="s">
        <v>128</v>
      </c>
      <c r="G24" s="38">
        <v>60</v>
      </c>
      <c r="H24" s="38">
        <v>0</v>
      </c>
      <c r="I24" s="39">
        <v>0</v>
      </c>
      <c r="J24" s="38">
        <v>60</v>
      </c>
      <c r="K24" s="38">
        <v>12.27</v>
      </c>
      <c r="L24" s="40">
        <v>736.19999999999993</v>
      </c>
      <c r="M24" s="35" t="s">
        <v>64</v>
      </c>
      <c r="N24" s="35" t="s">
        <v>60</v>
      </c>
      <c r="O24" s="60" t="s">
        <v>92</v>
      </c>
      <c r="P24" s="60"/>
    </row>
    <row r="25" spans="1:16" x14ac:dyDescent="0.2">
      <c r="A25" s="35" t="s">
        <v>59</v>
      </c>
      <c r="B25" s="36">
        <v>45218</v>
      </c>
      <c r="C25" s="35" t="s">
        <v>73</v>
      </c>
      <c r="D25" s="35" t="s">
        <v>74</v>
      </c>
      <c r="E25" s="35" t="s">
        <v>77</v>
      </c>
      <c r="F25" s="37" t="s">
        <v>78</v>
      </c>
      <c r="G25" s="38">
        <v>720</v>
      </c>
      <c r="H25" s="38">
        <v>550</v>
      </c>
      <c r="I25" s="39">
        <v>0.76388888888888884</v>
      </c>
      <c r="J25" s="38">
        <v>170</v>
      </c>
      <c r="K25" s="38">
        <v>4.62</v>
      </c>
      <c r="L25" s="40">
        <v>785.4</v>
      </c>
      <c r="M25" s="35" t="s">
        <v>64</v>
      </c>
      <c r="N25" s="35" t="s">
        <v>66</v>
      </c>
      <c r="O25" s="60">
        <v>45343</v>
      </c>
      <c r="P25" s="60"/>
    </row>
    <row r="26" spans="1:16" x14ac:dyDescent="0.2">
      <c r="A26" s="35" t="s">
        <v>59</v>
      </c>
      <c r="B26" s="36">
        <v>45267</v>
      </c>
      <c r="C26" s="35" t="s">
        <v>111</v>
      </c>
      <c r="D26" s="35" t="s">
        <v>112</v>
      </c>
      <c r="E26" s="35" t="s">
        <v>77</v>
      </c>
      <c r="F26" s="37" t="s">
        <v>78</v>
      </c>
      <c r="G26" s="38">
        <v>360</v>
      </c>
      <c r="H26" s="38">
        <v>0</v>
      </c>
      <c r="I26" s="39">
        <v>0</v>
      </c>
      <c r="J26" s="38">
        <v>360</v>
      </c>
      <c r="K26" s="38">
        <v>4.62</v>
      </c>
      <c r="L26" s="40">
        <v>1663.2</v>
      </c>
      <c r="M26" s="35" t="s">
        <v>64</v>
      </c>
      <c r="N26" s="35" t="s">
        <v>66</v>
      </c>
      <c r="O26" s="60">
        <v>45343</v>
      </c>
      <c r="P26" s="60"/>
    </row>
    <row r="27" spans="1:16" x14ac:dyDescent="0.2">
      <c r="A27" s="35" t="s">
        <v>59</v>
      </c>
      <c r="B27" s="36">
        <v>45217</v>
      </c>
      <c r="C27" s="35">
        <v>4319698</v>
      </c>
      <c r="D27" s="35" t="s">
        <v>148</v>
      </c>
      <c r="E27" s="35" t="s">
        <v>157</v>
      </c>
      <c r="F27" s="37" t="s">
        <v>158</v>
      </c>
      <c r="G27" s="38">
        <v>1500</v>
      </c>
      <c r="H27" s="38">
        <v>750</v>
      </c>
      <c r="I27" s="39">
        <v>0.5</v>
      </c>
      <c r="J27" s="38">
        <v>750</v>
      </c>
      <c r="K27" s="38">
        <v>3.25</v>
      </c>
      <c r="L27" s="40">
        <v>2437.5</v>
      </c>
      <c r="M27" s="35" t="s">
        <v>64</v>
      </c>
      <c r="N27" s="35" t="s">
        <v>65</v>
      </c>
      <c r="O27" s="60">
        <v>45349</v>
      </c>
      <c r="P27" s="60"/>
    </row>
    <row r="28" spans="1:16" x14ac:dyDescent="0.2">
      <c r="A28" s="35" t="s">
        <v>59</v>
      </c>
      <c r="B28" s="36">
        <v>45224</v>
      </c>
      <c r="C28" s="35" t="s">
        <v>69</v>
      </c>
      <c r="D28" s="35" t="s">
        <v>70</v>
      </c>
      <c r="E28" s="35" t="s">
        <v>71</v>
      </c>
      <c r="F28" s="37" t="s">
        <v>72</v>
      </c>
      <c r="G28" s="38">
        <v>50</v>
      </c>
      <c r="H28" s="38">
        <v>9</v>
      </c>
      <c r="I28" s="39">
        <v>0.18</v>
      </c>
      <c r="J28" s="38">
        <v>41</v>
      </c>
      <c r="K28" s="38">
        <v>25.57</v>
      </c>
      <c r="L28" s="40">
        <v>1048.3700000000001</v>
      </c>
      <c r="M28" s="35" t="s">
        <v>10</v>
      </c>
      <c r="N28" s="35" t="s">
        <v>58</v>
      </c>
      <c r="O28" s="60">
        <v>45374</v>
      </c>
      <c r="P28" s="60"/>
    </row>
    <row r="29" spans="1:16" x14ac:dyDescent="0.2">
      <c r="A29" s="35" t="s">
        <v>59</v>
      </c>
      <c r="B29" s="36">
        <v>45224</v>
      </c>
      <c r="C29" s="35" t="s">
        <v>69</v>
      </c>
      <c r="D29" s="35" t="s">
        <v>70</v>
      </c>
      <c r="E29" s="35" t="s">
        <v>94</v>
      </c>
      <c r="F29" s="37" t="s">
        <v>95</v>
      </c>
      <c r="G29" s="38">
        <v>14</v>
      </c>
      <c r="H29" s="38">
        <v>7</v>
      </c>
      <c r="I29" s="39">
        <v>0.5</v>
      </c>
      <c r="J29" s="38">
        <v>7</v>
      </c>
      <c r="K29" s="38">
        <v>25.57</v>
      </c>
      <c r="L29" s="40">
        <v>178.99</v>
      </c>
      <c r="M29" s="35" t="s">
        <v>10</v>
      </c>
      <c r="N29" s="35" t="s">
        <v>58</v>
      </c>
      <c r="O29" s="60">
        <v>45374</v>
      </c>
      <c r="P29" s="37"/>
    </row>
    <row r="30" spans="1:16" x14ac:dyDescent="0.2">
      <c r="A30" s="35" t="s">
        <v>59</v>
      </c>
      <c r="B30" s="36">
        <v>45224</v>
      </c>
      <c r="C30" s="35" t="s">
        <v>69</v>
      </c>
      <c r="D30" s="35" t="s">
        <v>70</v>
      </c>
      <c r="E30" s="35" t="s">
        <v>96</v>
      </c>
      <c r="F30" s="37" t="s">
        <v>97</v>
      </c>
      <c r="G30" s="38">
        <v>20</v>
      </c>
      <c r="H30" s="38">
        <v>15</v>
      </c>
      <c r="I30" s="39">
        <v>0.75</v>
      </c>
      <c r="J30" s="38">
        <v>5</v>
      </c>
      <c r="K30" s="38">
        <v>35.86</v>
      </c>
      <c r="L30" s="40">
        <v>179.3</v>
      </c>
      <c r="M30" s="35" t="s">
        <v>10</v>
      </c>
      <c r="N30" s="35" t="s">
        <v>58</v>
      </c>
      <c r="O30" s="60">
        <v>45374</v>
      </c>
      <c r="P30" s="37"/>
    </row>
    <row r="31" spans="1:16" x14ac:dyDescent="0.2">
      <c r="A31" s="35" t="s">
        <v>59</v>
      </c>
      <c r="B31" s="36">
        <v>45314</v>
      </c>
      <c r="C31" s="35" t="s">
        <v>159</v>
      </c>
      <c r="D31" s="35" t="s">
        <v>160</v>
      </c>
      <c r="E31" s="35" t="s">
        <v>161</v>
      </c>
      <c r="F31" s="37" t="s">
        <v>162</v>
      </c>
      <c r="G31" s="38">
        <v>20</v>
      </c>
      <c r="H31" s="38">
        <v>0</v>
      </c>
      <c r="I31" s="39">
        <v>0</v>
      </c>
      <c r="J31" s="38">
        <v>20</v>
      </c>
      <c r="K31" s="38">
        <v>31.33</v>
      </c>
      <c r="L31" s="40">
        <v>626.59999999999991</v>
      </c>
      <c r="M31" s="35" t="s">
        <v>10</v>
      </c>
      <c r="N31" s="35" t="s">
        <v>58</v>
      </c>
      <c r="O31" s="60">
        <v>45374</v>
      </c>
      <c r="P31" s="37"/>
    </row>
    <row r="32" spans="1:16" x14ac:dyDescent="0.2">
      <c r="A32" s="35" t="s">
        <v>59</v>
      </c>
      <c r="B32" s="36">
        <v>45314</v>
      </c>
      <c r="C32" s="35" t="s">
        <v>159</v>
      </c>
      <c r="D32" s="35" t="s">
        <v>160</v>
      </c>
      <c r="E32" s="35" t="s">
        <v>94</v>
      </c>
      <c r="F32" s="37" t="s">
        <v>95</v>
      </c>
      <c r="G32" s="38">
        <v>20</v>
      </c>
      <c r="H32" s="38">
        <v>0</v>
      </c>
      <c r="I32" s="39">
        <v>0</v>
      </c>
      <c r="J32" s="38">
        <v>20</v>
      </c>
      <c r="K32" s="38">
        <v>27.23</v>
      </c>
      <c r="L32" s="40">
        <v>544.6</v>
      </c>
      <c r="M32" s="35" t="s">
        <v>10</v>
      </c>
      <c r="N32" s="35" t="s">
        <v>58</v>
      </c>
      <c r="O32" s="60">
        <v>45374</v>
      </c>
      <c r="P32" s="37"/>
    </row>
    <row r="33" spans="1:16" x14ac:dyDescent="0.2">
      <c r="A33" s="35" t="s">
        <v>59</v>
      </c>
      <c r="B33" s="36">
        <v>45314</v>
      </c>
      <c r="C33" s="35" t="s">
        <v>159</v>
      </c>
      <c r="D33" s="35" t="s">
        <v>160</v>
      </c>
      <c r="E33" s="35" t="s">
        <v>163</v>
      </c>
      <c r="F33" s="37" t="s">
        <v>164</v>
      </c>
      <c r="G33" s="38">
        <v>20</v>
      </c>
      <c r="H33" s="38">
        <v>0</v>
      </c>
      <c r="I33" s="39">
        <v>0</v>
      </c>
      <c r="J33" s="38">
        <v>20</v>
      </c>
      <c r="K33" s="38">
        <v>29.42</v>
      </c>
      <c r="L33" s="40">
        <v>588.40000000000009</v>
      </c>
      <c r="M33" s="35" t="s">
        <v>10</v>
      </c>
      <c r="N33" s="35" t="s">
        <v>58</v>
      </c>
      <c r="O33" s="60">
        <v>45374</v>
      </c>
      <c r="P33" s="37"/>
    </row>
    <row r="34" spans="1:16" x14ac:dyDescent="0.2">
      <c r="A34" s="35" t="s">
        <v>59</v>
      </c>
      <c r="B34" s="36">
        <v>45314</v>
      </c>
      <c r="C34" s="35" t="s">
        <v>159</v>
      </c>
      <c r="D34" s="35" t="s">
        <v>160</v>
      </c>
      <c r="E34" s="35" t="s">
        <v>165</v>
      </c>
      <c r="F34" s="37" t="s">
        <v>166</v>
      </c>
      <c r="G34" s="38">
        <v>20</v>
      </c>
      <c r="H34" s="38">
        <v>0</v>
      </c>
      <c r="I34" s="39">
        <v>0</v>
      </c>
      <c r="J34" s="38">
        <v>20</v>
      </c>
      <c r="K34" s="38">
        <v>38.19</v>
      </c>
      <c r="L34" s="40">
        <v>763.8</v>
      </c>
      <c r="M34" s="35" t="s">
        <v>10</v>
      </c>
      <c r="N34" s="35" t="s">
        <v>58</v>
      </c>
      <c r="O34" s="60">
        <v>45374</v>
      </c>
      <c r="P34" s="37"/>
    </row>
    <row r="35" spans="1:16" x14ac:dyDescent="0.2">
      <c r="A35" s="35" t="s">
        <v>59</v>
      </c>
      <c r="B35" s="36">
        <v>45314</v>
      </c>
      <c r="C35" s="35" t="s">
        <v>159</v>
      </c>
      <c r="D35" s="35" t="s">
        <v>160</v>
      </c>
      <c r="E35" s="35" t="s">
        <v>167</v>
      </c>
      <c r="F35" s="37" t="s">
        <v>168</v>
      </c>
      <c r="G35" s="38">
        <v>20</v>
      </c>
      <c r="H35" s="38">
        <v>0</v>
      </c>
      <c r="I35" s="39">
        <v>0</v>
      </c>
      <c r="J35" s="38">
        <v>20</v>
      </c>
      <c r="K35" s="38">
        <v>29.42</v>
      </c>
      <c r="L35" s="40">
        <v>588.40000000000009</v>
      </c>
      <c r="M35" s="35" t="s">
        <v>10</v>
      </c>
      <c r="N35" s="35" t="s">
        <v>58</v>
      </c>
      <c r="O35" s="41">
        <v>45374</v>
      </c>
      <c r="P35" s="37"/>
    </row>
    <row r="36" spans="1:16" x14ac:dyDescent="0.2">
      <c r="A36" s="35" t="s">
        <v>59</v>
      </c>
      <c r="B36" s="36">
        <v>45314</v>
      </c>
      <c r="C36" s="35" t="s">
        <v>159</v>
      </c>
      <c r="D36" s="35" t="s">
        <v>160</v>
      </c>
      <c r="E36" s="35" t="s">
        <v>169</v>
      </c>
      <c r="F36" s="37" t="s">
        <v>170</v>
      </c>
      <c r="G36" s="38">
        <v>20</v>
      </c>
      <c r="H36" s="38">
        <v>2</v>
      </c>
      <c r="I36" s="39">
        <v>0.1</v>
      </c>
      <c r="J36" s="38">
        <v>18</v>
      </c>
      <c r="K36" s="38">
        <v>31.33</v>
      </c>
      <c r="L36" s="40">
        <v>563.93999999999994</v>
      </c>
      <c r="M36" s="35" t="s">
        <v>10</v>
      </c>
      <c r="N36" s="35" t="s">
        <v>58</v>
      </c>
      <c r="O36" s="41">
        <v>45374</v>
      </c>
      <c r="P36" s="37"/>
    </row>
    <row r="37" spans="1:16" x14ac:dyDescent="0.2">
      <c r="A37" s="35" t="s">
        <v>59</v>
      </c>
      <c r="B37" s="36">
        <v>45152</v>
      </c>
      <c r="C37" s="35" t="s">
        <v>171</v>
      </c>
      <c r="D37" s="35" t="s">
        <v>172</v>
      </c>
      <c r="E37" s="35" t="s">
        <v>135</v>
      </c>
      <c r="F37" s="37" t="s">
        <v>136</v>
      </c>
      <c r="G37" s="38">
        <v>60</v>
      </c>
      <c r="H37" s="38">
        <v>0</v>
      </c>
      <c r="I37" s="39">
        <v>0</v>
      </c>
      <c r="J37" s="38">
        <v>60</v>
      </c>
      <c r="K37" s="38">
        <v>41.01</v>
      </c>
      <c r="L37" s="40">
        <v>2460.6</v>
      </c>
      <c r="M37" s="35" t="s">
        <v>64</v>
      </c>
      <c r="N37" s="35" t="s">
        <v>60</v>
      </c>
      <c r="O37" s="41">
        <v>45408</v>
      </c>
      <c r="P37" s="37"/>
    </row>
    <row r="38" spans="1:16" x14ac:dyDescent="0.2">
      <c r="A38" s="35" t="s">
        <v>59</v>
      </c>
      <c r="B38" s="36">
        <v>45173</v>
      </c>
      <c r="C38" s="35" t="s">
        <v>173</v>
      </c>
      <c r="D38" s="35" t="s">
        <v>174</v>
      </c>
      <c r="E38" s="35" t="s">
        <v>135</v>
      </c>
      <c r="F38" s="37" t="s">
        <v>136</v>
      </c>
      <c r="G38" s="38">
        <v>100</v>
      </c>
      <c r="H38" s="38">
        <v>0</v>
      </c>
      <c r="I38" s="39">
        <v>0</v>
      </c>
      <c r="J38" s="38">
        <v>100</v>
      </c>
      <c r="K38" s="38">
        <v>41.01</v>
      </c>
      <c r="L38" s="40">
        <v>4101</v>
      </c>
      <c r="M38" s="35" t="s">
        <v>64</v>
      </c>
      <c r="N38" s="35" t="s">
        <v>60</v>
      </c>
      <c r="O38" s="41">
        <v>45408</v>
      </c>
      <c r="P38" s="37"/>
    </row>
    <row r="39" spans="1:16" x14ac:dyDescent="0.2">
      <c r="A39" s="35" t="s">
        <v>59</v>
      </c>
      <c r="B39" s="36">
        <v>45173</v>
      </c>
      <c r="C39" s="35" t="s">
        <v>173</v>
      </c>
      <c r="D39" s="35" t="s">
        <v>174</v>
      </c>
      <c r="E39" s="35" t="s">
        <v>137</v>
      </c>
      <c r="F39" s="37" t="s">
        <v>138</v>
      </c>
      <c r="G39" s="38">
        <v>100</v>
      </c>
      <c r="H39" s="38">
        <v>0</v>
      </c>
      <c r="I39" s="39">
        <v>0</v>
      </c>
      <c r="J39" s="38">
        <v>100</v>
      </c>
      <c r="K39" s="38">
        <v>41.58</v>
      </c>
      <c r="L39" s="40">
        <v>4158</v>
      </c>
      <c r="M39" s="35" t="s">
        <v>10</v>
      </c>
      <c r="N39" s="35" t="s">
        <v>60</v>
      </c>
      <c r="O39" s="41">
        <v>45408</v>
      </c>
      <c r="P39" s="37"/>
    </row>
    <row r="40" spans="1:16" x14ac:dyDescent="0.2">
      <c r="A40" s="35" t="s">
        <v>59</v>
      </c>
      <c r="B40" s="36">
        <v>45218</v>
      </c>
      <c r="C40" s="35" t="s">
        <v>73</v>
      </c>
      <c r="D40" s="35" t="s">
        <v>74</v>
      </c>
      <c r="E40" s="35" t="s">
        <v>75</v>
      </c>
      <c r="F40" s="37" t="s">
        <v>76</v>
      </c>
      <c r="G40" s="38">
        <v>720</v>
      </c>
      <c r="H40" s="38">
        <v>600</v>
      </c>
      <c r="I40" s="39">
        <v>0.83333333333333337</v>
      </c>
      <c r="J40" s="38">
        <v>120</v>
      </c>
      <c r="K40" s="38">
        <v>4.62</v>
      </c>
      <c r="L40" s="40">
        <v>554.4</v>
      </c>
      <c r="M40" s="35" t="s">
        <v>64</v>
      </c>
      <c r="N40" s="35" t="s">
        <v>66</v>
      </c>
      <c r="O40" s="41">
        <v>45343</v>
      </c>
      <c r="P40" s="37"/>
    </row>
    <row r="41" spans="1:16" x14ac:dyDescent="0.2">
      <c r="A41" s="35" t="s">
        <v>59</v>
      </c>
      <c r="B41" s="36">
        <v>45266</v>
      </c>
      <c r="C41" s="35" t="s">
        <v>107</v>
      </c>
      <c r="D41" s="35" t="s">
        <v>108</v>
      </c>
      <c r="E41" s="35" t="s">
        <v>135</v>
      </c>
      <c r="F41" s="37" t="s">
        <v>136</v>
      </c>
      <c r="G41" s="38">
        <v>30</v>
      </c>
      <c r="H41" s="38">
        <v>0</v>
      </c>
      <c r="I41" s="39">
        <v>0</v>
      </c>
      <c r="J41" s="38">
        <v>30</v>
      </c>
      <c r="K41" s="38">
        <v>41.01</v>
      </c>
      <c r="L41" s="40">
        <v>1230.3</v>
      </c>
      <c r="M41" s="35" t="s">
        <v>64</v>
      </c>
      <c r="N41" s="35" t="s">
        <v>60</v>
      </c>
      <c r="O41" s="41">
        <v>45408</v>
      </c>
      <c r="P41" s="37"/>
    </row>
    <row r="42" spans="1:16" x14ac:dyDescent="0.2">
      <c r="A42" s="35" t="s">
        <v>59</v>
      </c>
      <c r="B42" s="36">
        <v>45266</v>
      </c>
      <c r="C42" s="35" t="s">
        <v>107</v>
      </c>
      <c r="D42" s="35" t="s">
        <v>108</v>
      </c>
      <c r="E42" s="35" t="s">
        <v>137</v>
      </c>
      <c r="F42" s="37" t="s">
        <v>138</v>
      </c>
      <c r="G42" s="38">
        <v>30</v>
      </c>
      <c r="H42" s="38">
        <v>0</v>
      </c>
      <c r="I42" s="39">
        <v>0</v>
      </c>
      <c r="J42" s="38">
        <v>30</v>
      </c>
      <c r="K42" s="38">
        <v>41.58</v>
      </c>
      <c r="L42" s="40">
        <v>1247.3999999999999</v>
      </c>
      <c r="M42" s="35" t="s">
        <v>10</v>
      </c>
      <c r="N42" s="35" t="s">
        <v>60</v>
      </c>
      <c r="O42" s="41">
        <v>45408</v>
      </c>
      <c r="P42" s="37"/>
    </row>
    <row r="43" spans="1:16" x14ac:dyDescent="0.2">
      <c r="A43" s="35" t="s">
        <v>59</v>
      </c>
      <c r="B43" s="36">
        <v>45267</v>
      </c>
      <c r="C43" s="35" t="s">
        <v>111</v>
      </c>
      <c r="D43" s="35" t="s">
        <v>112</v>
      </c>
      <c r="E43" s="35" t="s">
        <v>75</v>
      </c>
      <c r="F43" s="37" t="s">
        <v>76</v>
      </c>
      <c r="G43" s="38">
        <v>360</v>
      </c>
      <c r="H43" s="38">
        <v>0</v>
      </c>
      <c r="I43" s="39">
        <v>0</v>
      </c>
      <c r="J43" s="38">
        <v>360</v>
      </c>
      <c r="K43" s="38">
        <v>4.62</v>
      </c>
      <c r="L43" s="40">
        <v>1663.2</v>
      </c>
      <c r="M43" s="35" t="s">
        <v>64</v>
      </c>
      <c r="N43" s="35" t="s">
        <v>66</v>
      </c>
      <c r="O43" s="41">
        <v>45350</v>
      </c>
      <c r="P43" s="37"/>
    </row>
    <row r="44" spans="1:16" x14ac:dyDescent="0.2">
      <c r="A44" s="35" t="s">
        <v>59</v>
      </c>
      <c r="B44" s="36">
        <v>45278</v>
      </c>
      <c r="C44" s="35" t="s">
        <v>105</v>
      </c>
      <c r="D44" s="35" t="s">
        <v>106</v>
      </c>
      <c r="E44" s="35" t="s">
        <v>135</v>
      </c>
      <c r="F44" s="37" t="s">
        <v>136</v>
      </c>
      <c r="G44" s="38">
        <v>30</v>
      </c>
      <c r="H44" s="38">
        <v>0</v>
      </c>
      <c r="I44" s="39">
        <v>0</v>
      </c>
      <c r="J44" s="38">
        <v>30</v>
      </c>
      <c r="K44" s="38">
        <v>41.01</v>
      </c>
      <c r="L44" s="40">
        <v>1230.3</v>
      </c>
      <c r="M44" s="35" t="s">
        <v>64</v>
      </c>
      <c r="N44" s="35" t="s">
        <v>60</v>
      </c>
      <c r="O44" s="41">
        <v>45408</v>
      </c>
      <c r="P44" s="37"/>
    </row>
    <row r="45" spans="1:16" x14ac:dyDescent="0.2">
      <c r="A45" s="35" t="s">
        <v>59</v>
      </c>
      <c r="B45" s="36">
        <v>45278</v>
      </c>
      <c r="C45" s="35" t="s">
        <v>105</v>
      </c>
      <c r="D45" s="35" t="s">
        <v>106</v>
      </c>
      <c r="E45" s="35" t="s">
        <v>137</v>
      </c>
      <c r="F45" s="37" t="s">
        <v>138</v>
      </c>
      <c r="G45" s="38">
        <v>30</v>
      </c>
      <c r="H45" s="38">
        <v>0</v>
      </c>
      <c r="I45" s="39">
        <v>0</v>
      </c>
      <c r="J45" s="38">
        <v>30</v>
      </c>
      <c r="K45" s="38">
        <v>41.58</v>
      </c>
      <c r="L45" s="40">
        <v>1247.3999999999999</v>
      </c>
      <c r="M45" s="35" t="s">
        <v>10</v>
      </c>
      <c r="N45" s="35" t="s">
        <v>60</v>
      </c>
      <c r="O45" s="41">
        <v>45408</v>
      </c>
      <c r="P45" s="37"/>
    </row>
    <row r="46" spans="1:16" x14ac:dyDescent="0.2">
      <c r="A46" s="35" t="s">
        <v>59</v>
      </c>
      <c r="B46" s="36">
        <v>45314</v>
      </c>
      <c r="C46" s="35" t="s">
        <v>159</v>
      </c>
      <c r="D46" s="35" t="s">
        <v>160</v>
      </c>
      <c r="E46" s="35" t="s">
        <v>175</v>
      </c>
      <c r="F46" s="37" t="s">
        <v>176</v>
      </c>
      <c r="G46" s="38">
        <v>20</v>
      </c>
      <c r="H46" s="38">
        <v>9</v>
      </c>
      <c r="I46" s="39">
        <v>0.45</v>
      </c>
      <c r="J46" s="38">
        <v>11</v>
      </c>
      <c r="K46" s="38">
        <v>31.33</v>
      </c>
      <c r="L46" s="40">
        <v>344.63</v>
      </c>
      <c r="M46" s="35" t="s">
        <v>10</v>
      </c>
      <c r="N46" s="35" t="s">
        <v>58</v>
      </c>
      <c r="O46" s="41">
        <v>45374</v>
      </c>
      <c r="P46" s="37"/>
    </row>
    <row r="47" spans="1:16" x14ac:dyDescent="0.2">
      <c r="A47" s="35"/>
      <c r="B47" s="36"/>
      <c r="C47" s="35"/>
      <c r="D47" s="35"/>
      <c r="E47" s="35"/>
      <c r="F47" s="37"/>
      <c r="G47" s="38"/>
      <c r="H47" s="38"/>
      <c r="I47" s="39"/>
      <c r="J47" s="38"/>
      <c r="K47" s="38"/>
      <c r="L47" s="40"/>
      <c r="M47" s="35"/>
      <c r="N47" s="35"/>
      <c r="O47" s="41"/>
      <c r="P47" s="37"/>
    </row>
    <row r="48" spans="1:16" x14ac:dyDescent="0.2">
      <c r="A48" s="35"/>
      <c r="B48" s="36"/>
      <c r="C48" s="35"/>
      <c r="D48" s="35"/>
      <c r="E48" s="35"/>
      <c r="F48" s="37"/>
      <c r="G48" s="38"/>
      <c r="H48" s="38"/>
      <c r="I48" s="39"/>
      <c r="J48" s="38"/>
      <c r="K48" s="38"/>
      <c r="L48" s="40"/>
      <c r="M48" s="35"/>
      <c r="N48" s="35"/>
      <c r="O48" s="41"/>
      <c r="P48" s="37"/>
    </row>
    <row r="49" spans="1:16" x14ac:dyDescent="0.2">
      <c r="A49" s="35"/>
      <c r="B49" s="36"/>
      <c r="C49" s="35"/>
      <c r="D49" s="35"/>
      <c r="E49" s="35"/>
      <c r="F49" s="37"/>
      <c r="G49" s="38"/>
      <c r="H49" s="38"/>
      <c r="I49" s="39"/>
      <c r="J49" s="38"/>
      <c r="K49" s="38"/>
      <c r="L49" s="40"/>
      <c r="M49" s="35"/>
      <c r="N49" s="35"/>
      <c r="O49" s="41"/>
      <c r="P49" s="37"/>
    </row>
    <row r="50" spans="1:16" x14ac:dyDescent="0.2">
      <c r="A50" s="35"/>
      <c r="B50" s="36"/>
      <c r="C50" s="35"/>
      <c r="D50" s="35"/>
      <c r="E50" s="35"/>
      <c r="F50" s="37"/>
      <c r="G50" s="38"/>
      <c r="H50" s="38"/>
      <c r="I50" s="39"/>
      <c r="J50" s="38"/>
      <c r="K50" s="38"/>
      <c r="L50" s="40"/>
      <c r="M50" s="35"/>
      <c r="N50" s="35"/>
      <c r="O50" s="41"/>
      <c r="P50" s="37"/>
    </row>
    <row r="51" spans="1:16" x14ac:dyDescent="0.2">
      <c r="A51" s="35"/>
      <c r="B51" s="36"/>
      <c r="C51" s="35"/>
      <c r="D51" s="35"/>
      <c r="E51" s="35"/>
      <c r="F51" s="37"/>
      <c r="G51" s="38"/>
      <c r="H51" s="38"/>
      <c r="I51" s="39"/>
      <c r="J51" s="38"/>
      <c r="K51" s="38"/>
      <c r="L51" s="40"/>
      <c r="M51" s="35"/>
      <c r="N51" s="35"/>
      <c r="O51" s="41"/>
      <c r="P51" s="37"/>
    </row>
    <row r="52" spans="1:16" x14ac:dyDescent="0.2">
      <c r="A52" s="35"/>
      <c r="B52" s="36"/>
      <c r="C52" s="35"/>
      <c r="D52" s="35"/>
      <c r="E52" s="35"/>
      <c r="F52" s="37"/>
      <c r="G52" s="38"/>
      <c r="H52" s="38"/>
      <c r="I52" s="39"/>
      <c r="J52" s="38"/>
      <c r="K52" s="38"/>
      <c r="L52" s="40"/>
      <c r="M52" s="35"/>
      <c r="N52" s="35"/>
      <c r="O52" s="36"/>
      <c r="P52" s="37"/>
    </row>
    <row r="53" spans="1:16" x14ac:dyDescent="0.2">
      <c r="A53" s="35"/>
      <c r="B53" s="36"/>
      <c r="C53" s="35"/>
      <c r="D53" s="35"/>
      <c r="E53" s="35"/>
      <c r="F53" s="37"/>
      <c r="G53" s="38"/>
      <c r="H53" s="38"/>
      <c r="I53" s="39"/>
      <c r="J53" s="38"/>
      <c r="K53" s="38"/>
      <c r="L53" s="40"/>
      <c r="M53" s="35"/>
      <c r="N53" s="35"/>
      <c r="O53" s="36"/>
      <c r="P53" s="37"/>
    </row>
    <row r="54" spans="1:16" x14ac:dyDescent="0.2">
      <c r="A54" s="35"/>
      <c r="B54" s="36"/>
      <c r="C54" s="35"/>
      <c r="D54" s="35"/>
      <c r="E54" s="35"/>
      <c r="F54" s="37"/>
      <c r="G54" s="38"/>
      <c r="H54" s="38"/>
      <c r="I54" s="39"/>
      <c r="J54" s="38"/>
      <c r="K54" s="38"/>
      <c r="L54" s="40"/>
      <c r="M54" s="35"/>
      <c r="N54" s="35"/>
      <c r="O54" s="41"/>
      <c r="P54" s="37"/>
    </row>
    <row r="55" spans="1:16" x14ac:dyDescent="0.2">
      <c r="A55" s="35"/>
      <c r="B55" s="36"/>
      <c r="C55" s="35"/>
      <c r="D55" s="35"/>
      <c r="E55" s="35"/>
      <c r="F55" s="37"/>
      <c r="G55" s="38"/>
      <c r="H55" s="38"/>
      <c r="I55" s="39"/>
      <c r="J55" s="38"/>
      <c r="K55" s="38"/>
      <c r="L55" s="40"/>
      <c r="M55" s="35"/>
      <c r="N55" s="35"/>
      <c r="O55" s="41"/>
      <c r="P55" s="37"/>
    </row>
    <row r="56" spans="1:16" x14ac:dyDescent="0.2">
      <c r="A56" s="35"/>
      <c r="B56" s="36"/>
      <c r="C56" s="35"/>
      <c r="D56" s="35"/>
      <c r="E56" s="35"/>
      <c r="F56" s="37"/>
      <c r="G56" s="38"/>
      <c r="H56" s="38"/>
      <c r="I56" s="39"/>
      <c r="J56" s="38"/>
      <c r="K56" s="38"/>
      <c r="L56" s="40"/>
      <c r="M56" s="35"/>
      <c r="N56" s="35"/>
      <c r="O56" s="41"/>
      <c r="P56" s="37"/>
    </row>
    <row r="57" spans="1:16" x14ac:dyDescent="0.2">
      <c r="A57" s="35"/>
      <c r="B57" s="36"/>
      <c r="C57" s="35"/>
      <c r="D57" s="35"/>
      <c r="E57" s="35"/>
      <c r="F57" s="37"/>
      <c r="G57" s="38"/>
      <c r="H57" s="38"/>
      <c r="I57" s="39"/>
      <c r="J57" s="38"/>
      <c r="K57" s="38"/>
      <c r="L57" s="40"/>
      <c r="M57" s="35"/>
      <c r="N57" s="35"/>
      <c r="O57" s="41"/>
      <c r="P57" s="37"/>
    </row>
    <row r="58" spans="1:16" x14ac:dyDescent="0.2">
      <c r="A58" s="35"/>
      <c r="B58" s="36"/>
      <c r="C58" s="35"/>
      <c r="D58" s="35"/>
      <c r="E58" s="35"/>
      <c r="F58" s="37"/>
      <c r="G58" s="38"/>
      <c r="H58" s="38"/>
      <c r="I58" s="39"/>
      <c r="J58" s="38"/>
      <c r="K58" s="38"/>
      <c r="L58" s="40"/>
      <c r="M58" s="35"/>
      <c r="N58" s="35"/>
      <c r="O58" s="41"/>
      <c r="P58" s="37"/>
    </row>
    <row r="59" spans="1:16" x14ac:dyDescent="0.2">
      <c r="A59" s="35"/>
      <c r="B59" s="36"/>
      <c r="C59" s="35"/>
      <c r="D59" s="35"/>
      <c r="E59" s="35"/>
      <c r="F59" s="37"/>
      <c r="G59" s="38"/>
      <c r="H59" s="38"/>
      <c r="I59" s="39"/>
      <c r="J59" s="38"/>
      <c r="K59" s="38"/>
      <c r="L59" s="40"/>
      <c r="M59" s="35"/>
      <c r="N59" s="35"/>
      <c r="O59" s="41"/>
      <c r="P59" s="37"/>
    </row>
    <row r="60" spans="1:16" x14ac:dyDescent="0.2">
      <c r="A60" s="35"/>
      <c r="B60" s="36"/>
      <c r="C60" s="35"/>
      <c r="D60" s="35"/>
      <c r="E60" s="35"/>
      <c r="F60" s="37"/>
      <c r="G60" s="38"/>
      <c r="H60" s="38"/>
      <c r="I60" s="39"/>
      <c r="J60" s="38"/>
      <c r="K60" s="38"/>
      <c r="L60" s="40"/>
      <c r="M60" s="35"/>
      <c r="N60" s="35"/>
      <c r="O60" s="41"/>
      <c r="P60" s="37"/>
    </row>
    <row r="61" spans="1:16" x14ac:dyDescent="0.2">
      <c r="A61" s="35"/>
      <c r="B61" s="36"/>
      <c r="C61" s="35"/>
      <c r="D61" s="35"/>
      <c r="E61" s="35"/>
      <c r="F61" s="37"/>
      <c r="G61" s="38"/>
      <c r="H61" s="38"/>
      <c r="I61" s="39"/>
      <c r="J61" s="38"/>
      <c r="K61" s="38"/>
      <c r="L61" s="40"/>
      <c r="M61" s="35"/>
      <c r="N61" s="35"/>
      <c r="O61" s="41"/>
      <c r="P61" s="37"/>
    </row>
    <row r="62" spans="1:16" x14ac:dyDescent="0.2">
      <c r="A62" s="35"/>
      <c r="B62" s="36"/>
      <c r="C62" s="35"/>
      <c r="D62" s="35"/>
      <c r="E62" s="35"/>
      <c r="F62" s="37"/>
      <c r="G62" s="38"/>
      <c r="H62" s="38"/>
      <c r="I62" s="39"/>
      <c r="J62" s="38"/>
      <c r="K62" s="38"/>
      <c r="L62" s="40"/>
      <c r="M62" s="35"/>
      <c r="N62" s="35"/>
      <c r="O62" s="41"/>
      <c r="P62" s="37"/>
    </row>
    <row r="63" spans="1:16" x14ac:dyDescent="0.2">
      <c r="A63" s="35"/>
      <c r="B63" s="36"/>
      <c r="C63" s="35"/>
      <c r="D63" s="35"/>
      <c r="E63" s="35"/>
      <c r="F63" s="37"/>
      <c r="G63" s="38"/>
      <c r="H63" s="38"/>
      <c r="I63" s="39"/>
      <c r="J63" s="38"/>
      <c r="K63" s="38"/>
      <c r="L63" s="40"/>
      <c r="M63" s="35"/>
      <c r="N63" s="35"/>
      <c r="O63" s="41"/>
      <c r="P63" s="37"/>
    </row>
    <row r="64" spans="1:16" x14ac:dyDescent="0.2">
      <c r="A64" s="35"/>
      <c r="B64" s="36"/>
      <c r="C64" s="35"/>
      <c r="D64" s="35"/>
      <c r="E64" s="35"/>
      <c r="F64" s="37"/>
      <c r="G64" s="38"/>
      <c r="H64" s="38"/>
      <c r="I64" s="39"/>
      <c r="J64" s="38"/>
      <c r="K64" s="38"/>
      <c r="L64" s="40"/>
      <c r="M64" s="35"/>
      <c r="N64" s="35"/>
      <c r="O64" s="41"/>
      <c r="P64" s="37"/>
    </row>
    <row r="65" spans="1:16" x14ac:dyDescent="0.2">
      <c r="A65" s="35"/>
      <c r="B65" s="36"/>
      <c r="C65" s="35"/>
      <c r="D65" s="35"/>
      <c r="E65" s="35"/>
      <c r="F65" s="37"/>
      <c r="G65" s="38"/>
      <c r="H65" s="38"/>
      <c r="I65" s="39"/>
      <c r="J65" s="38"/>
      <c r="K65" s="38"/>
      <c r="L65" s="40"/>
      <c r="M65" s="35"/>
      <c r="N65" s="35"/>
      <c r="O65" s="41"/>
      <c r="P65" s="37"/>
    </row>
    <row r="66" spans="1:16" x14ac:dyDescent="0.2">
      <c r="A66" s="35"/>
      <c r="B66" s="36"/>
      <c r="C66" s="35"/>
      <c r="D66" s="35"/>
      <c r="E66" s="35"/>
      <c r="F66" s="37"/>
      <c r="G66" s="38"/>
      <c r="H66" s="38"/>
      <c r="I66" s="39"/>
      <c r="J66" s="38"/>
      <c r="K66" s="38"/>
      <c r="L66" s="40"/>
      <c r="M66" s="35"/>
      <c r="N66" s="35"/>
      <c r="O66" s="41"/>
      <c r="P66" s="37"/>
    </row>
    <row r="67" spans="1:16" x14ac:dyDescent="0.2">
      <c r="A67" s="35"/>
      <c r="B67" s="36"/>
      <c r="C67" s="35"/>
      <c r="D67" s="35"/>
      <c r="E67" s="35"/>
      <c r="F67" s="37"/>
      <c r="G67" s="38"/>
      <c r="H67" s="38"/>
      <c r="I67" s="39"/>
      <c r="J67" s="38"/>
      <c r="K67" s="38"/>
      <c r="L67" s="40"/>
      <c r="M67" s="35"/>
      <c r="N67" s="35"/>
      <c r="O67" s="41"/>
      <c r="P67" s="37"/>
    </row>
    <row r="68" spans="1:16" x14ac:dyDescent="0.2">
      <c r="A68" s="35"/>
      <c r="B68" s="36"/>
      <c r="C68" s="35"/>
      <c r="D68" s="35"/>
      <c r="E68" s="35"/>
      <c r="F68" s="37"/>
      <c r="G68" s="38"/>
      <c r="H68" s="38"/>
      <c r="I68" s="39"/>
      <c r="J68" s="38"/>
      <c r="K68" s="38"/>
      <c r="L68" s="40"/>
      <c r="M68" s="35"/>
      <c r="N68" s="35"/>
      <c r="O68" s="41"/>
      <c r="P68" s="37"/>
    </row>
    <row r="69" spans="1:16" x14ac:dyDescent="0.2">
      <c r="A69" s="35"/>
      <c r="B69" s="36"/>
      <c r="C69" s="35"/>
      <c r="D69" s="35"/>
      <c r="E69" s="35"/>
      <c r="F69" s="37"/>
      <c r="G69" s="38"/>
      <c r="H69" s="38"/>
      <c r="I69" s="39"/>
      <c r="J69" s="38"/>
      <c r="K69" s="38"/>
      <c r="L69" s="40"/>
      <c r="M69" s="35"/>
      <c r="N69" s="35"/>
      <c r="O69" s="41"/>
      <c r="P69" s="37"/>
    </row>
    <row r="70" spans="1:16" x14ac:dyDescent="0.2">
      <c r="A70" s="35"/>
      <c r="B70" s="36"/>
      <c r="C70" s="35"/>
      <c r="D70" s="35"/>
      <c r="E70" s="35"/>
      <c r="F70" s="37"/>
      <c r="G70" s="38"/>
      <c r="H70" s="38"/>
      <c r="I70" s="39"/>
      <c r="J70" s="38"/>
      <c r="K70" s="38"/>
      <c r="L70" s="40"/>
      <c r="M70" s="35"/>
      <c r="N70" s="35"/>
      <c r="O70" s="41"/>
      <c r="P70" s="37"/>
    </row>
    <row r="71" spans="1:16" x14ac:dyDescent="0.2">
      <c r="A71" s="35"/>
      <c r="B71" s="36"/>
      <c r="C71" s="35"/>
      <c r="D71" s="35"/>
      <c r="E71" s="35"/>
      <c r="F71" s="37"/>
      <c r="G71" s="38"/>
      <c r="H71" s="38"/>
      <c r="I71" s="39"/>
      <c r="J71" s="38"/>
      <c r="K71" s="38"/>
      <c r="L71" s="40"/>
      <c r="M71" s="35"/>
      <c r="N71" s="35"/>
      <c r="O71" s="41"/>
      <c r="P71" s="37"/>
    </row>
    <row r="72" spans="1:16" x14ac:dyDescent="0.2">
      <c r="A72" s="35"/>
      <c r="B72" s="36"/>
      <c r="C72" s="35"/>
      <c r="D72" s="35"/>
      <c r="E72" s="35"/>
      <c r="F72" s="37"/>
      <c r="G72" s="38"/>
      <c r="H72" s="38"/>
      <c r="I72" s="39"/>
      <c r="J72" s="38"/>
      <c r="K72" s="38"/>
      <c r="L72" s="40"/>
      <c r="M72" s="35"/>
      <c r="N72" s="35"/>
      <c r="O72" s="41"/>
      <c r="P72" s="37"/>
    </row>
    <row r="73" spans="1:16" x14ac:dyDescent="0.2">
      <c r="A73" s="35"/>
      <c r="B73" s="36"/>
      <c r="C73" s="35"/>
      <c r="D73" s="35"/>
      <c r="E73" s="35"/>
      <c r="F73" s="37"/>
      <c r="G73" s="38"/>
      <c r="H73" s="38"/>
      <c r="I73" s="39"/>
      <c r="J73" s="38"/>
      <c r="K73" s="38"/>
      <c r="L73" s="40"/>
      <c r="M73" s="35"/>
      <c r="N73" s="35"/>
      <c r="O73" s="41"/>
      <c r="P73" s="37"/>
    </row>
    <row r="74" spans="1:16" x14ac:dyDescent="0.2">
      <c r="A74" s="35"/>
      <c r="B74" s="36"/>
      <c r="C74" s="35"/>
      <c r="D74" s="35"/>
      <c r="E74" s="35"/>
      <c r="F74" s="37"/>
      <c r="G74" s="38"/>
      <c r="H74" s="38"/>
      <c r="I74" s="39"/>
      <c r="J74" s="38"/>
      <c r="K74" s="38"/>
      <c r="L74" s="40"/>
      <c r="M74" s="35"/>
      <c r="N74" s="35"/>
      <c r="O74" s="41"/>
      <c r="P74" s="37"/>
    </row>
    <row r="75" spans="1:16" x14ac:dyDescent="0.2">
      <c r="A75" s="35"/>
      <c r="B75" s="36"/>
      <c r="C75" s="35"/>
      <c r="D75" s="35"/>
      <c r="E75" s="35"/>
      <c r="F75" s="37"/>
      <c r="G75" s="38"/>
      <c r="H75" s="38"/>
      <c r="I75" s="39"/>
      <c r="J75" s="38"/>
      <c r="K75" s="38"/>
      <c r="L75" s="40"/>
      <c r="M75" s="35"/>
      <c r="N75" s="35"/>
      <c r="O75" s="41"/>
      <c r="P75" s="37"/>
    </row>
    <row r="76" spans="1:16" x14ac:dyDescent="0.2">
      <c r="A76" s="35"/>
      <c r="B76" s="36"/>
      <c r="C76" s="35"/>
      <c r="D76" s="35"/>
      <c r="E76" s="35"/>
      <c r="F76" s="37"/>
      <c r="G76" s="38"/>
      <c r="H76" s="38"/>
      <c r="I76" s="39"/>
      <c r="J76" s="38"/>
      <c r="K76" s="38"/>
      <c r="L76" s="40"/>
      <c r="M76" s="35"/>
      <c r="N76" s="35"/>
      <c r="O76" s="41"/>
      <c r="P76" s="37"/>
    </row>
    <row r="77" spans="1:16" x14ac:dyDescent="0.2">
      <c r="A77" s="35"/>
      <c r="B77" s="36"/>
      <c r="C77" s="35"/>
      <c r="D77" s="35"/>
      <c r="E77" s="35"/>
      <c r="F77" s="37"/>
      <c r="G77" s="38"/>
      <c r="H77" s="38"/>
      <c r="I77" s="39"/>
      <c r="J77" s="38"/>
      <c r="K77" s="38"/>
      <c r="L77" s="40"/>
      <c r="M77" s="35"/>
      <c r="N77" s="35"/>
      <c r="O77" s="41"/>
      <c r="P77" s="37"/>
    </row>
    <row r="78" spans="1:16" x14ac:dyDescent="0.2">
      <c r="A78" s="35"/>
      <c r="B78" s="36"/>
      <c r="C78" s="35"/>
      <c r="D78" s="35"/>
      <c r="E78" s="35"/>
      <c r="F78" s="37"/>
      <c r="G78" s="38"/>
      <c r="H78" s="38"/>
      <c r="I78" s="39"/>
      <c r="J78" s="38"/>
      <c r="K78" s="38"/>
      <c r="L78" s="40"/>
      <c r="M78" s="35"/>
      <c r="N78" s="35"/>
      <c r="O78" s="41"/>
      <c r="P78" s="37"/>
    </row>
    <row r="79" spans="1:16" x14ac:dyDescent="0.2">
      <c r="A79" s="35"/>
      <c r="B79" s="36"/>
      <c r="C79" s="35"/>
      <c r="D79" s="35"/>
      <c r="E79" s="35"/>
      <c r="F79" s="37"/>
      <c r="G79" s="38"/>
      <c r="H79" s="38"/>
      <c r="I79" s="39"/>
      <c r="J79" s="38"/>
      <c r="K79" s="38"/>
      <c r="L79" s="40"/>
      <c r="M79" s="35"/>
      <c r="N79" s="35"/>
      <c r="O79" s="41"/>
      <c r="P79" s="37"/>
    </row>
    <row r="80" spans="1:16" x14ac:dyDescent="0.2">
      <c r="A80" s="35"/>
      <c r="B80" s="36"/>
      <c r="C80" s="35"/>
      <c r="D80" s="35"/>
      <c r="E80" s="35"/>
      <c r="F80" s="37"/>
      <c r="G80" s="38"/>
      <c r="H80" s="38"/>
      <c r="I80" s="39"/>
      <c r="J80" s="38"/>
      <c r="K80" s="38"/>
      <c r="L80" s="40"/>
      <c r="M80" s="35"/>
      <c r="N80" s="35"/>
      <c r="O80" s="41"/>
      <c r="P80" s="37"/>
    </row>
    <row r="81" spans="1:16" x14ac:dyDescent="0.2">
      <c r="A81" s="35"/>
      <c r="B81" s="36"/>
      <c r="C81" s="35"/>
      <c r="D81" s="35"/>
      <c r="E81" s="35"/>
      <c r="F81" s="37"/>
      <c r="G81" s="38"/>
      <c r="H81" s="38"/>
      <c r="I81" s="39"/>
      <c r="J81" s="38"/>
      <c r="K81" s="38"/>
      <c r="L81" s="40"/>
      <c r="M81" s="35"/>
      <c r="N81" s="35"/>
      <c r="O81" s="41"/>
      <c r="P81" s="37"/>
    </row>
    <row r="82" spans="1:16" x14ac:dyDescent="0.2">
      <c r="A82" s="35"/>
      <c r="B82" s="36"/>
      <c r="C82" s="35"/>
      <c r="D82" s="35"/>
      <c r="E82" s="35"/>
      <c r="F82" s="37"/>
      <c r="G82" s="38"/>
      <c r="H82" s="38"/>
      <c r="I82" s="39"/>
      <c r="J82" s="38"/>
      <c r="K82" s="38"/>
      <c r="L82" s="40"/>
      <c r="M82" s="35"/>
      <c r="N82" s="35"/>
      <c r="O82" s="41"/>
      <c r="P82" s="37"/>
    </row>
    <row r="83" spans="1:16" x14ac:dyDescent="0.2">
      <c r="A83" s="35"/>
      <c r="B83" s="36"/>
      <c r="C83" s="35"/>
      <c r="D83" s="35"/>
      <c r="E83" s="35"/>
      <c r="F83" s="37"/>
      <c r="G83" s="38"/>
      <c r="H83" s="38"/>
      <c r="I83" s="39"/>
      <c r="J83" s="38"/>
      <c r="K83" s="38"/>
      <c r="L83" s="40"/>
      <c r="M83" s="35"/>
      <c r="N83" s="35"/>
      <c r="O83" s="41"/>
      <c r="P83" s="37"/>
    </row>
    <row r="84" spans="1:16" x14ac:dyDescent="0.2">
      <c r="A84" s="35"/>
      <c r="B84" s="36"/>
      <c r="C84" s="35"/>
      <c r="D84" s="35"/>
      <c r="E84" s="35"/>
      <c r="F84" s="37"/>
      <c r="G84" s="38"/>
      <c r="H84" s="38"/>
      <c r="I84" s="39"/>
      <c r="J84" s="38"/>
      <c r="K84" s="38"/>
      <c r="L84" s="40"/>
      <c r="M84" s="35"/>
      <c r="N84" s="35"/>
      <c r="O84" s="41"/>
      <c r="P84" s="37"/>
    </row>
    <row r="85" spans="1:16" x14ac:dyDescent="0.2">
      <c r="A85" s="35"/>
      <c r="B85" s="36"/>
      <c r="C85" s="35"/>
      <c r="D85" s="35"/>
      <c r="E85" s="35"/>
      <c r="F85" s="37"/>
      <c r="G85" s="38"/>
      <c r="H85" s="38"/>
      <c r="I85" s="39"/>
      <c r="J85" s="38"/>
      <c r="K85" s="38"/>
      <c r="L85" s="40"/>
      <c r="M85" s="35"/>
      <c r="N85" s="35"/>
      <c r="O85" s="41"/>
      <c r="P85" s="37"/>
    </row>
    <row r="86" spans="1:16" x14ac:dyDescent="0.2">
      <c r="A86" s="35"/>
      <c r="B86" s="36"/>
      <c r="C86" s="35"/>
      <c r="D86" s="35"/>
      <c r="E86" s="35"/>
      <c r="F86" s="37"/>
      <c r="G86" s="38"/>
      <c r="H86" s="38"/>
      <c r="I86" s="39"/>
      <c r="J86" s="38"/>
      <c r="K86" s="38"/>
      <c r="L86" s="40"/>
      <c r="M86" s="35"/>
      <c r="N86" s="35"/>
      <c r="O86" s="41"/>
      <c r="P86" s="37"/>
    </row>
    <row r="87" spans="1:16" x14ac:dyDescent="0.2">
      <c r="A87" s="35"/>
      <c r="B87" s="36"/>
      <c r="C87" s="35"/>
      <c r="D87" s="35"/>
      <c r="E87" s="35"/>
      <c r="F87" s="37"/>
      <c r="G87" s="38"/>
      <c r="H87" s="38"/>
      <c r="I87" s="39"/>
      <c r="J87" s="38"/>
      <c r="K87" s="38"/>
      <c r="L87" s="40"/>
      <c r="M87" s="35"/>
      <c r="N87" s="35"/>
      <c r="O87" s="41"/>
      <c r="P87" s="37"/>
    </row>
    <row r="88" spans="1:16" x14ac:dyDescent="0.2">
      <c r="A88" s="35"/>
      <c r="B88" s="36"/>
      <c r="C88" s="35"/>
      <c r="D88" s="35"/>
      <c r="E88" s="35"/>
      <c r="F88" s="37"/>
      <c r="G88" s="38"/>
      <c r="H88" s="38"/>
      <c r="I88" s="39"/>
      <c r="J88" s="38"/>
      <c r="K88" s="38"/>
      <c r="L88" s="40"/>
      <c r="M88" s="35"/>
      <c r="N88" s="35"/>
      <c r="O88" s="41"/>
      <c r="P88" s="37"/>
    </row>
    <row r="89" spans="1:16" x14ac:dyDescent="0.2">
      <c r="A89" s="35"/>
      <c r="B89" s="36"/>
      <c r="C89" s="35"/>
      <c r="D89" s="35"/>
      <c r="E89" s="35"/>
      <c r="F89" s="37"/>
      <c r="G89" s="38"/>
      <c r="H89" s="38"/>
      <c r="I89" s="39"/>
      <c r="J89" s="38"/>
      <c r="K89" s="38"/>
      <c r="L89" s="40"/>
      <c r="M89" s="35"/>
      <c r="N89" s="35"/>
      <c r="O89" s="41"/>
      <c r="P89" s="37"/>
    </row>
    <row r="90" spans="1:16" x14ac:dyDescent="0.2">
      <c r="A90" s="35"/>
      <c r="B90" s="36"/>
      <c r="C90" s="35"/>
      <c r="D90" s="35"/>
      <c r="E90" s="35"/>
      <c r="F90" s="37"/>
      <c r="G90" s="38"/>
      <c r="H90" s="38"/>
      <c r="I90" s="39"/>
      <c r="J90" s="38"/>
      <c r="K90" s="38"/>
      <c r="L90" s="40"/>
      <c r="M90" s="35"/>
      <c r="N90" s="35"/>
      <c r="O90" s="41"/>
      <c r="P90" s="37"/>
    </row>
    <row r="91" spans="1:16" x14ac:dyDescent="0.2">
      <c r="A91" s="35"/>
      <c r="B91" s="36"/>
      <c r="C91" s="35"/>
      <c r="D91" s="35"/>
      <c r="E91" s="35"/>
      <c r="F91" s="37"/>
      <c r="G91" s="38"/>
      <c r="H91" s="38"/>
      <c r="I91" s="39"/>
      <c r="J91" s="38"/>
      <c r="K91" s="38"/>
      <c r="L91" s="40"/>
      <c r="M91" s="35"/>
      <c r="N91" s="35"/>
      <c r="O91" s="41"/>
      <c r="P91" s="37"/>
    </row>
    <row r="92" spans="1:16" x14ac:dyDescent="0.2">
      <c r="A92" s="35"/>
      <c r="B92" s="36"/>
      <c r="C92" s="35"/>
      <c r="D92" s="35"/>
      <c r="E92" s="35"/>
      <c r="F92" s="37"/>
      <c r="G92" s="38"/>
      <c r="H92" s="38"/>
      <c r="I92" s="39"/>
      <c r="J92" s="38"/>
      <c r="K92" s="38"/>
      <c r="L92" s="40"/>
      <c r="M92" s="35"/>
      <c r="N92" s="35"/>
      <c r="O92" s="41"/>
      <c r="P92" s="37"/>
    </row>
    <row r="93" spans="1:16" x14ac:dyDescent="0.2">
      <c r="A93" s="35"/>
      <c r="B93" s="36"/>
      <c r="C93" s="35"/>
      <c r="D93" s="35"/>
      <c r="E93" s="35"/>
      <c r="F93" s="37"/>
      <c r="G93" s="38"/>
      <c r="H93" s="38"/>
      <c r="I93" s="39"/>
      <c r="J93" s="38"/>
      <c r="K93" s="38"/>
      <c r="L93" s="40"/>
      <c r="M93" s="35"/>
      <c r="N93" s="35"/>
      <c r="O93" s="41"/>
      <c r="P93" s="37"/>
    </row>
    <row r="94" spans="1:16" x14ac:dyDescent="0.2">
      <c r="A94" s="35"/>
      <c r="B94" s="36"/>
      <c r="C94" s="35"/>
      <c r="D94" s="35"/>
      <c r="E94" s="35"/>
      <c r="F94" s="37"/>
      <c r="G94" s="38"/>
      <c r="H94" s="38"/>
      <c r="I94" s="39"/>
      <c r="J94" s="38"/>
      <c r="K94" s="38"/>
      <c r="L94" s="40"/>
      <c r="M94" s="35"/>
      <c r="N94" s="35"/>
      <c r="O94" s="41"/>
      <c r="P94" s="37"/>
    </row>
    <row r="95" spans="1:16" x14ac:dyDescent="0.2">
      <c r="A95" s="35"/>
      <c r="B95" s="36"/>
      <c r="C95" s="35"/>
      <c r="D95" s="35"/>
      <c r="E95" s="35"/>
      <c r="F95" s="37"/>
      <c r="G95" s="38"/>
      <c r="H95" s="38"/>
      <c r="I95" s="39"/>
      <c r="J95" s="38"/>
      <c r="K95" s="38"/>
      <c r="L95" s="40"/>
      <c r="M95" s="35"/>
      <c r="N95" s="35"/>
      <c r="O95" s="41"/>
      <c r="P95" s="37"/>
    </row>
    <row r="96" spans="1:16" x14ac:dyDescent="0.2">
      <c r="A96" s="35"/>
      <c r="B96" s="36"/>
      <c r="C96" s="35"/>
      <c r="D96" s="35"/>
      <c r="E96" s="35"/>
      <c r="F96" s="37"/>
      <c r="G96" s="38"/>
      <c r="H96" s="38"/>
      <c r="I96" s="39"/>
      <c r="J96" s="38"/>
      <c r="K96" s="38"/>
      <c r="L96" s="40"/>
      <c r="M96" s="35"/>
      <c r="N96" s="35"/>
      <c r="O96" s="41"/>
      <c r="P96" s="37"/>
    </row>
    <row r="97" spans="1:16" x14ac:dyDescent="0.2">
      <c r="A97" s="35"/>
      <c r="B97" s="36"/>
      <c r="C97" s="35"/>
      <c r="D97" s="35"/>
      <c r="E97" s="35"/>
      <c r="F97" s="37"/>
      <c r="G97" s="38"/>
      <c r="H97" s="38"/>
      <c r="I97" s="39"/>
      <c r="J97" s="38"/>
      <c r="K97" s="38"/>
      <c r="L97" s="40"/>
      <c r="M97" s="35"/>
      <c r="N97" s="35"/>
      <c r="O97" s="41"/>
      <c r="P97" s="37"/>
    </row>
    <row r="98" spans="1:16" x14ac:dyDescent="0.2">
      <c r="A98" s="35"/>
      <c r="B98" s="36"/>
      <c r="C98" s="35"/>
      <c r="D98" s="35"/>
      <c r="E98" s="35"/>
      <c r="F98" s="37"/>
      <c r="G98" s="38"/>
      <c r="H98" s="38"/>
      <c r="I98" s="39"/>
      <c r="J98" s="38"/>
      <c r="K98" s="38"/>
      <c r="L98" s="40"/>
      <c r="M98" s="35"/>
      <c r="N98" s="35"/>
      <c r="O98" s="41"/>
      <c r="P98" s="37"/>
    </row>
    <row r="99" spans="1:16" x14ac:dyDescent="0.2">
      <c r="A99" s="35"/>
      <c r="B99" s="36"/>
      <c r="C99" s="35"/>
      <c r="D99" s="35"/>
      <c r="E99" s="35"/>
      <c r="F99" s="37"/>
      <c r="G99" s="38"/>
      <c r="H99" s="38"/>
      <c r="I99" s="39"/>
      <c r="J99" s="38"/>
      <c r="K99" s="38"/>
      <c r="L99" s="40"/>
      <c r="M99" s="35"/>
      <c r="N99" s="35"/>
      <c r="O99" s="41"/>
      <c r="P99" s="37"/>
    </row>
    <row r="100" spans="1:16" x14ac:dyDescent="0.2">
      <c r="A100" s="35"/>
      <c r="B100" s="36"/>
      <c r="C100" s="35"/>
      <c r="D100" s="35"/>
      <c r="E100" s="35"/>
      <c r="F100" s="37"/>
      <c r="G100" s="38"/>
      <c r="H100" s="38"/>
      <c r="I100" s="39"/>
      <c r="J100" s="38"/>
      <c r="K100" s="38"/>
      <c r="L100" s="40"/>
      <c r="M100" s="35"/>
      <c r="N100" s="35"/>
      <c r="O100" s="41"/>
      <c r="P100" s="37"/>
    </row>
    <row r="101" spans="1:16" x14ac:dyDescent="0.2">
      <c r="A101" s="35"/>
      <c r="B101" s="36"/>
      <c r="C101" s="35"/>
      <c r="D101" s="35"/>
      <c r="E101" s="35"/>
      <c r="F101" s="37"/>
      <c r="G101" s="38"/>
      <c r="H101" s="38"/>
      <c r="I101" s="39"/>
      <c r="J101" s="38"/>
      <c r="K101" s="38"/>
      <c r="L101" s="40"/>
      <c r="M101" s="35"/>
      <c r="N101" s="35"/>
      <c r="O101" s="41"/>
      <c r="P101" s="37"/>
    </row>
    <row r="102" spans="1:16" x14ac:dyDescent="0.2">
      <c r="A102" s="35"/>
      <c r="B102" s="36"/>
      <c r="C102" s="35"/>
      <c r="D102" s="35"/>
      <c r="E102" s="35"/>
      <c r="F102" s="37"/>
      <c r="G102" s="38"/>
      <c r="H102" s="38"/>
      <c r="I102" s="39"/>
      <c r="J102" s="38"/>
      <c r="K102" s="38"/>
      <c r="L102" s="40"/>
      <c r="M102" s="35"/>
      <c r="N102" s="35"/>
      <c r="O102" s="41"/>
      <c r="P102" s="37"/>
    </row>
    <row r="103" spans="1:16" x14ac:dyDescent="0.2">
      <c r="A103" s="35"/>
      <c r="B103" s="36"/>
      <c r="C103" s="35"/>
      <c r="D103" s="35"/>
      <c r="E103" s="35"/>
      <c r="F103" s="37"/>
      <c r="G103" s="38"/>
      <c r="H103" s="38"/>
      <c r="I103" s="39"/>
      <c r="J103" s="38"/>
      <c r="K103" s="38"/>
      <c r="L103" s="40"/>
      <c r="M103" s="35"/>
      <c r="N103" s="35"/>
      <c r="O103" s="41"/>
      <c r="P103" s="37"/>
    </row>
    <row r="104" spans="1:16" x14ac:dyDescent="0.2">
      <c r="A104" s="35"/>
      <c r="B104" s="36"/>
      <c r="C104" s="35"/>
      <c r="D104" s="35"/>
      <c r="E104" s="35"/>
      <c r="F104" s="37"/>
      <c r="G104" s="38"/>
      <c r="H104" s="38"/>
      <c r="I104" s="39"/>
      <c r="J104" s="38"/>
      <c r="K104" s="38"/>
      <c r="L104" s="40"/>
      <c r="M104" s="35"/>
      <c r="N104" s="35"/>
      <c r="O104" s="41"/>
      <c r="P104" s="37"/>
    </row>
    <row r="105" spans="1:16" x14ac:dyDescent="0.2">
      <c r="A105" s="35"/>
      <c r="B105" s="36"/>
      <c r="C105" s="35"/>
      <c r="D105" s="35"/>
      <c r="E105" s="35"/>
      <c r="F105" s="37"/>
      <c r="G105" s="38"/>
      <c r="H105" s="38"/>
      <c r="I105" s="39"/>
      <c r="J105" s="38"/>
      <c r="K105" s="38"/>
      <c r="L105" s="40"/>
      <c r="M105" s="35"/>
      <c r="N105" s="35"/>
      <c r="O105" s="41"/>
      <c r="P105" s="37"/>
    </row>
    <row r="106" spans="1:16" x14ac:dyDescent="0.2">
      <c r="A106" s="35"/>
      <c r="B106" s="36"/>
      <c r="C106" s="35"/>
      <c r="D106" s="35"/>
      <c r="E106" s="35"/>
      <c r="F106" s="37"/>
      <c r="G106" s="38"/>
      <c r="H106" s="38"/>
      <c r="I106" s="39"/>
      <c r="J106" s="38"/>
      <c r="K106" s="38"/>
      <c r="L106" s="40"/>
      <c r="M106" s="35"/>
      <c r="N106" s="35"/>
      <c r="O106" s="41"/>
      <c r="P106" s="37"/>
    </row>
    <row r="107" spans="1:16" x14ac:dyDescent="0.2">
      <c r="A107" s="35"/>
      <c r="B107" s="36"/>
      <c r="C107" s="35"/>
      <c r="D107" s="35"/>
      <c r="E107" s="35"/>
      <c r="F107" s="37"/>
      <c r="G107" s="38"/>
      <c r="H107" s="38"/>
      <c r="I107" s="39"/>
      <c r="J107" s="38"/>
      <c r="K107" s="38"/>
      <c r="L107" s="40"/>
      <c r="M107" s="35"/>
      <c r="N107" s="35"/>
      <c r="O107" s="41"/>
      <c r="P107" s="37"/>
    </row>
    <row r="108" spans="1:16" x14ac:dyDescent="0.2">
      <c r="A108" s="35"/>
      <c r="B108" s="36"/>
      <c r="C108" s="35"/>
      <c r="D108" s="35"/>
      <c r="E108" s="35"/>
      <c r="F108" s="37"/>
      <c r="G108" s="38"/>
      <c r="H108" s="38"/>
      <c r="I108" s="39"/>
      <c r="J108" s="38"/>
      <c r="K108" s="38"/>
      <c r="L108" s="40"/>
      <c r="M108" s="35"/>
      <c r="N108" s="35"/>
      <c r="O108" s="41"/>
      <c r="P108" s="37"/>
    </row>
    <row r="109" spans="1:16" x14ac:dyDescent="0.2">
      <c r="A109" s="35"/>
      <c r="B109" s="36"/>
      <c r="C109" s="35"/>
      <c r="D109" s="35"/>
      <c r="E109" s="35"/>
      <c r="F109" s="37"/>
      <c r="G109" s="38"/>
      <c r="H109" s="38"/>
      <c r="I109" s="39"/>
      <c r="J109" s="38"/>
      <c r="K109" s="38"/>
      <c r="L109" s="40"/>
      <c r="M109" s="35"/>
      <c r="N109" s="35"/>
      <c r="O109" s="41"/>
      <c r="P109" s="37"/>
    </row>
    <row r="110" spans="1:16" x14ac:dyDescent="0.2">
      <c r="A110" s="35"/>
      <c r="B110" s="36"/>
      <c r="C110" s="35"/>
      <c r="D110" s="35"/>
      <c r="E110" s="35"/>
      <c r="F110" s="37"/>
      <c r="G110" s="38"/>
      <c r="H110" s="38"/>
      <c r="I110" s="39"/>
      <c r="J110" s="38"/>
      <c r="K110" s="38"/>
      <c r="L110" s="40"/>
      <c r="M110" s="35"/>
      <c r="N110" s="35"/>
      <c r="O110" s="41"/>
      <c r="P110" s="37"/>
    </row>
    <row r="111" spans="1:16" x14ac:dyDescent="0.2">
      <c r="A111" s="35"/>
      <c r="B111" s="36"/>
      <c r="C111" s="35"/>
      <c r="D111" s="35"/>
      <c r="E111" s="35"/>
      <c r="F111" s="37"/>
      <c r="G111" s="38"/>
      <c r="H111" s="38"/>
      <c r="I111" s="39"/>
      <c r="J111" s="38"/>
      <c r="K111" s="38"/>
      <c r="L111" s="40"/>
      <c r="M111" s="35"/>
      <c r="N111" s="35"/>
      <c r="O111" s="41"/>
      <c r="P111" s="37"/>
    </row>
    <row r="112" spans="1:16" x14ac:dyDescent="0.2">
      <c r="A112" s="35"/>
      <c r="B112" s="36"/>
      <c r="C112" s="35"/>
      <c r="D112" s="35"/>
      <c r="E112" s="35"/>
      <c r="F112" s="37"/>
      <c r="G112" s="38"/>
      <c r="H112" s="38"/>
      <c r="I112" s="39"/>
      <c r="J112" s="38"/>
      <c r="K112" s="38"/>
      <c r="L112" s="40"/>
      <c r="M112" s="35"/>
      <c r="N112" s="35"/>
      <c r="O112" s="41"/>
      <c r="P112" s="37"/>
    </row>
    <row r="113" spans="1:16" x14ac:dyDescent="0.2">
      <c r="A113" s="35"/>
      <c r="B113" s="36"/>
      <c r="C113" s="35"/>
      <c r="D113" s="35"/>
      <c r="E113" s="35"/>
      <c r="F113" s="37"/>
      <c r="G113" s="38"/>
      <c r="H113" s="38"/>
      <c r="I113" s="39"/>
      <c r="J113" s="38"/>
      <c r="K113" s="38"/>
      <c r="L113" s="40"/>
      <c r="M113" s="35"/>
      <c r="N113" s="35"/>
      <c r="O113" s="41"/>
      <c r="P113" s="37"/>
    </row>
    <row r="114" spans="1:16" x14ac:dyDescent="0.2">
      <c r="A114" s="35"/>
      <c r="B114" s="36"/>
      <c r="C114" s="35"/>
      <c r="D114" s="35"/>
      <c r="E114" s="35"/>
      <c r="F114" s="37"/>
      <c r="G114" s="38"/>
      <c r="H114" s="38"/>
      <c r="I114" s="39"/>
      <c r="J114" s="38"/>
      <c r="K114" s="38"/>
      <c r="L114" s="40"/>
      <c r="M114" s="35"/>
      <c r="N114" s="35"/>
      <c r="O114" s="41"/>
      <c r="P114" s="37"/>
    </row>
    <row r="115" spans="1:16" x14ac:dyDescent="0.2">
      <c r="A115" s="35"/>
      <c r="B115" s="36"/>
      <c r="C115" s="35"/>
      <c r="D115" s="35"/>
      <c r="E115" s="35"/>
      <c r="F115" s="37"/>
      <c r="G115" s="38"/>
      <c r="H115" s="38"/>
      <c r="I115" s="39"/>
      <c r="J115" s="38"/>
      <c r="K115" s="38"/>
      <c r="L115" s="40"/>
      <c r="M115" s="35"/>
      <c r="N115" s="35"/>
      <c r="O115" s="41"/>
      <c r="P115" s="37"/>
    </row>
    <row r="116" spans="1:16" x14ac:dyDescent="0.2">
      <c r="A116" s="35"/>
      <c r="B116" s="36"/>
      <c r="C116" s="35"/>
      <c r="D116" s="35"/>
      <c r="E116" s="35"/>
      <c r="F116" s="37"/>
      <c r="G116" s="38"/>
      <c r="H116" s="38"/>
      <c r="I116" s="39"/>
      <c r="J116" s="38"/>
      <c r="K116" s="38"/>
      <c r="L116" s="40"/>
      <c r="M116" s="35"/>
      <c r="N116" s="35"/>
      <c r="O116" s="41"/>
      <c r="P116" s="37"/>
    </row>
    <row r="117" spans="1:16" x14ac:dyDescent="0.2">
      <c r="A117" s="35"/>
      <c r="B117" s="36"/>
      <c r="C117" s="35"/>
      <c r="D117" s="35"/>
      <c r="E117" s="35"/>
      <c r="F117" s="37"/>
      <c r="G117" s="38"/>
      <c r="H117" s="38"/>
      <c r="I117" s="39"/>
      <c r="J117" s="38"/>
      <c r="K117" s="38"/>
      <c r="L117" s="40"/>
      <c r="M117" s="35"/>
      <c r="N117" s="35"/>
      <c r="O117" s="41"/>
      <c r="P117" s="37"/>
    </row>
    <row r="118" spans="1:16" x14ac:dyDescent="0.2">
      <c r="A118" s="35"/>
      <c r="B118" s="36"/>
      <c r="C118" s="35"/>
      <c r="D118" s="35"/>
      <c r="E118" s="35"/>
      <c r="F118" s="37"/>
      <c r="G118" s="38"/>
      <c r="H118" s="38"/>
      <c r="I118" s="39"/>
      <c r="J118" s="38"/>
      <c r="K118" s="38"/>
      <c r="L118" s="40"/>
      <c r="M118" s="35"/>
      <c r="N118" s="35"/>
      <c r="O118" s="41"/>
      <c r="P118" s="37"/>
    </row>
    <row r="119" spans="1:16" x14ac:dyDescent="0.2">
      <c r="A119" s="35"/>
      <c r="B119" s="36"/>
      <c r="C119" s="35"/>
      <c r="D119" s="35"/>
      <c r="E119" s="35"/>
      <c r="F119" s="37"/>
      <c r="G119" s="38"/>
      <c r="H119" s="38"/>
      <c r="I119" s="39"/>
      <c r="J119" s="38"/>
      <c r="K119" s="38"/>
      <c r="L119" s="40"/>
      <c r="M119" s="35"/>
      <c r="N119" s="35"/>
      <c r="O119" s="41"/>
      <c r="P119" s="37"/>
    </row>
    <row r="120" spans="1:16" x14ac:dyDescent="0.2">
      <c r="A120" s="35"/>
      <c r="B120" s="36"/>
      <c r="C120" s="35"/>
      <c r="D120" s="35"/>
      <c r="E120" s="35"/>
      <c r="F120" s="37"/>
      <c r="G120" s="38"/>
      <c r="H120" s="38"/>
      <c r="I120" s="39"/>
      <c r="J120" s="38"/>
      <c r="K120" s="38"/>
      <c r="L120" s="40"/>
      <c r="M120" s="35"/>
      <c r="N120" s="35"/>
      <c r="O120" s="41"/>
      <c r="P120" s="37"/>
    </row>
    <row r="121" spans="1:16" x14ac:dyDescent="0.2">
      <c r="A121" s="35"/>
      <c r="B121" s="36"/>
      <c r="C121" s="35"/>
      <c r="D121" s="35"/>
      <c r="E121" s="35"/>
      <c r="F121" s="37"/>
      <c r="G121" s="38"/>
      <c r="H121" s="38"/>
      <c r="I121" s="39"/>
      <c r="J121" s="38"/>
      <c r="K121" s="38"/>
      <c r="L121" s="40"/>
      <c r="M121" s="35"/>
      <c r="N121" s="35"/>
      <c r="O121" s="41"/>
      <c r="P121" s="37"/>
    </row>
    <row r="122" spans="1:16" x14ac:dyDescent="0.2">
      <c r="A122" s="35"/>
      <c r="B122" s="36"/>
      <c r="C122" s="35"/>
      <c r="D122" s="35"/>
      <c r="E122" s="35"/>
      <c r="F122" s="37"/>
      <c r="G122" s="38"/>
      <c r="H122" s="38"/>
      <c r="I122" s="39"/>
      <c r="J122" s="38"/>
      <c r="K122" s="38"/>
      <c r="L122" s="40"/>
      <c r="M122" s="35"/>
      <c r="N122" s="35"/>
      <c r="O122" s="41"/>
      <c r="P122" s="37"/>
    </row>
    <row r="123" spans="1:16" x14ac:dyDescent="0.2">
      <c r="A123" s="35"/>
      <c r="B123" s="36"/>
      <c r="C123" s="35"/>
      <c r="D123" s="35"/>
      <c r="E123" s="35"/>
      <c r="F123" s="37"/>
      <c r="G123" s="38"/>
      <c r="H123" s="38"/>
      <c r="I123" s="39"/>
      <c r="J123" s="38"/>
      <c r="K123" s="38"/>
      <c r="L123" s="40"/>
      <c r="M123" s="35"/>
      <c r="N123" s="35"/>
      <c r="O123" s="41"/>
      <c r="P123" s="37"/>
    </row>
    <row r="124" spans="1:16" x14ac:dyDescent="0.2">
      <c r="A124" s="35"/>
      <c r="B124" s="36"/>
      <c r="C124" s="35"/>
      <c r="D124" s="35"/>
      <c r="E124" s="35"/>
      <c r="F124" s="37"/>
      <c r="G124" s="38"/>
      <c r="H124" s="38"/>
      <c r="I124" s="39"/>
      <c r="J124" s="38"/>
      <c r="K124" s="38"/>
      <c r="L124" s="40"/>
      <c r="M124" s="35"/>
      <c r="N124" s="35"/>
      <c r="O124" s="41"/>
      <c r="P124" s="37"/>
    </row>
    <row r="125" spans="1:16" x14ac:dyDescent="0.2">
      <c r="A125" s="35"/>
      <c r="B125" s="36"/>
      <c r="C125" s="35"/>
      <c r="D125" s="35"/>
      <c r="E125" s="35"/>
      <c r="F125" s="37"/>
      <c r="G125" s="38"/>
      <c r="H125" s="38"/>
      <c r="I125" s="39"/>
      <c r="J125" s="38"/>
      <c r="K125" s="38"/>
      <c r="L125" s="40"/>
      <c r="M125" s="35"/>
      <c r="N125" s="35"/>
      <c r="O125" s="41"/>
      <c r="P125" s="37"/>
    </row>
    <row r="126" spans="1:16" x14ac:dyDescent="0.2">
      <c r="A126" s="35"/>
      <c r="B126" s="36"/>
      <c r="C126" s="35"/>
      <c r="D126" s="35"/>
      <c r="E126" s="35"/>
      <c r="F126" s="37"/>
      <c r="G126" s="38"/>
      <c r="H126" s="38"/>
      <c r="I126" s="39"/>
      <c r="J126" s="38"/>
      <c r="K126" s="38"/>
      <c r="L126" s="40"/>
      <c r="M126" s="35"/>
      <c r="N126" s="35"/>
      <c r="O126" s="41"/>
      <c r="P126" s="37"/>
    </row>
    <row r="127" spans="1:16" x14ac:dyDescent="0.2">
      <c r="A127" s="35"/>
      <c r="B127" s="36"/>
      <c r="C127" s="35"/>
      <c r="D127" s="35"/>
      <c r="E127" s="35"/>
      <c r="F127" s="37"/>
      <c r="G127" s="38"/>
      <c r="H127" s="38"/>
      <c r="I127" s="39"/>
      <c r="J127" s="38"/>
      <c r="K127" s="38"/>
      <c r="L127" s="40"/>
      <c r="M127" s="35"/>
      <c r="N127" s="35"/>
      <c r="O127" s="41"/>
      <c r="P127" s="37"/>
    </row>
    <row r="128" spans="1:16" x14ac:dyDescent="0.2">
      <c r="A128" s="35"/>
      <c r="B128" s="36"/>
      <c r="C128" s="35"/>
      <c r="D128" s="35"/>
      <c r="E128" s="35"/>
      <c r="F128" s="37"/>
      <c r="G128" s="38"/>
      <c r="H128" s="38"/>
      <c r="I128" s="39"/>
      <c r="J128" s="38"/>
      <c r="K128" s="38"/>
      <c r="L128" s="40"/>
      <c r="M128" s="35"/>
      <c r="N128" s="35"/>
      <c r="O128" s="41"/>
      <c r="P128" s="37"/>
    </row>
    <row r="129" spans="1:16" x14ac:dyDescent="0.2">
      <c r="A129" s="35"/>
      <c r="B129" s="36"/>
      <c r="C129" s="35"/>
      <c r="D129" s="35"/>
      <c r="E129" s="35"/>
      <c r="F129" s="37"/>
      <c r="G129" s="38"/>
      <c r="H129" s="38"/>
      <c r="I129" s="39"/>
      <c r="J129" s="38"/>
      <c r="K129" s="38"/>
      <c r="L129" s="40"/>
      <c r="M129" s="35"/>
      <c r="N129" s="35"/>
      <c r="O129" s="41"/>
      <c r="P129" s="37"/>
    </row>
    <row r="130" spans="1:16" x14ac:dyDescent="0.2">
      <c r="A130" s="35"/>
      <c r="B130" s="36"/>
      <c r="C130" s="35"/>
      <c r="D130" s="35"/>
      <c r="E130" s="35"/>
      <c r="F130" s="37"/>
      <c r="G130" s="38"/>
      <c r="H130" s="38"/>
      <c r="I130" s="39"/>
      <c r="J130" s="38"/>
      <c r="K130" s="38"/>
      <c r="L130" s="40"/>
      <c r="M130" s="35"/>
      <c r="N130" s="35"/>
      <c r="O130" s="41"/>
      <c r="P130" s="37"/>
    </row>
    <row r="131" spans="1:16" x14ac:dyDescent="0.2">
      <c r="A131" s="35"/>
      <c r="B131" s="36"/>
      <c r="C131" s="35"/>
      <c r="D131" s="35"/>
      <c r="E131" s="35"/>
      <c r="F131" s="37"/>
      <c r="G131" s="38"/>
      <c r="H131" s="38"/>
      <c r="I131" s="39"/>
      <c r="J131" s="38"/>
      <c r="K131" s="38"/>
      <c r="L131" s="40"/>
      <c r="M131" s="35"/>
      <c r="N131" s="35"/>
      <c r="O131" s="41"/>
      <c r="P131" s="37"/>
    </row>
    <row r="132" spans="1:16" x14ac:dyDescent="0.2">
      <c r="A132" s="35"/>
      <c r="B132" s="36"/>
      <c r="C132" s="35"/>
      <c r="D132" s="35"/>
      <c r="E132" s="35"/>
      <c r="F132" s="37"/>
      <c r="G132" s="38"/>
      <c r="H132" s="38"/>
      <c r="I132" s="39"/>
      <c r="J132" s="38"/>
      <c r="K132" s="38"/>
      <c r="L132" s="40"/>
      <c r="M132" s="35"/>
      <c r="N132" s="35"/>
      <c r="O132" s="41"/>
      <c r="P132" s="37"/>
    </row>
    <row r="133" spans="1:16" x14ac:dyDescent="0.2">
      <c r="A133" s="35"/>
      <c r="B133" s="36"/>
      <c r="C133" s="35"/>
      <c r="D133" s="35"/>
      <c r="E133" s="35"/>
      <c r="F133" s="37"/>
      <c r="G133" s="38"/>
      <c r="H133" s="38"/>
      <c r="I133" s="39"/>
      <c r="J133" s="38"/>
      <c r="K133" s="38"/>
      <c r="L133" s="40"/>
      <c r="M133" s="35"/>
      <c r="N133" s="35"/>
      <c r="O133" s="41"/>
      <c r="P133" s="37"/>
    </row>
    <row r="134" spans="1:16" x14ac:dyDescent="0.2">
      <c r="A134" s="35"/>
      <c r="B134" s="36"/>
      <c r="C134" s="35"/>
      <c r="D134" s="35"/>
      <c r="E134" s="35"/>
      <c r="F134" s="37"/>
      <c r="G134" s="38"/>
      <c r="H134" s="38"/>
      <c r="I134" s="39"/>
      <c r="J134" s="38"/>
      <c r="K134" s="38"/>
      <c r="L134" s="40"/>
      <c r="M134" s="35"/>
      <c r="N134" s="35"/>
      <c r="O134" s="41"/>
      <c r="P134" s="37"/>
    </row>
    <row r="135" spans="1:16" x14ac:dyDescent="0.2">
      <c r="A135" s="35"/>
      <c r="B135" s="36"/>
      <c r="C135" s="35"/>
      <c r="D135" s="35"/>
      <c r="E135" s="35"/>
      <c r="F135" s="37"/>
      <c r="G135" s="38"/>
      <c r="H135" s="38"/>
      <c r="I135" s="39"/>
      <c r="J135" s="38"/>
      <c r="K135" s="38"/>
      <c r="L135" s="40"/>
      <c r="M135" s="35"/>
      <c r="N135" s="35"/>
      <c r="O135" s="41"/>
      <c r="P135" s="37"/>
    </row>
    <row r="136" spans="1:16" x14ac:dyDescent="0.2">
      <c r="A136" s="35"/>
      <c r="B136" s="36"/>
      <c r="C136" s="35"/>
      <c r="D136" s="35"/>
      <c r="E136" s="35"/>
      <c r="F136" s="37"/>
      <c r="G136" s="38"/>
      <c r="H136" s="38"/>
      <c r="I136" s="39"/>
      <c r="J136" s="38"/>
      <c r="K136" s="38"/>
      <c r="L136" s="40"/>
      <c r="M136" s="35"/>
      <c r="N136" s="35"/>
      <c r="O136" s="41"/>
      <c r="P136" s="37"/>
    </row>
    <row r="137" spans="1:16" x14ac:dyDescent="0.2">
      <c r="A137" s="35"/>
      <c r="B137" s="36"/>
      <c r="C137" s="35"/>
      <c r="D137" s="35"/>
      <c r="E137" s="35"/>
      <c r="F137" s="37"/>
      <c r="G137" s="38"/>
      <c r="H137" s="38"/>
      <c r="I137" s="39"/>
      <c r="J137" s="38"/>
      <c r="K137" s="38"/>
      <c r="L137" s="40"/>
      <c r="M137" s="35"/>
      <c r="N137" s="35"/>
      <c r="O137" s="41"/>
      <c r="P137" s="37"/>
    </row>
    <row r="138" spans="1:16" x14ac:dyDescent="0.2">
      <c r="A138" s="35"/>
      <c r="B138" s="36"/>
      <c r="C138" s="35"/>
      <c r="D138" s="35"/>
      <c r="E138" s="35"/>
      <c r="F138" s="37"/>
      <c r="G138" s="38"/>
      <c r="H138" s="38"/>
      <c r="I138" s="39"/>
      <c r="J138" s="38"/>
      <c r="K138" s="38"/>
      <c r="L138" s="40"/>
      <c r="M138" s="35"/>
      <c r="N138" s="35"/>
      <c r="O138" s="41"/>
      <c r="P138" s="37"/>
    </row>
    <row r="139" spans="1:16" x14ac:dyDescent="0.2">
      <c r="A139" s="35"/>
      <c r="B139" s="36"/>
      <c r="C139" s="35"/>
      <c r="D139" s="35"/>
      <c r="E139" s="35"/>
      <c r="F139" s="37"/>
      <c r="G139" s="38"/>
      <c r="H139" s="38"/>
      <c r="I139" s="39"/>
      <c r="J139" s="38"/>
      <c r="K139" s="38"/>
      <c r="L139" s="40"/>
      <c r="M139" s="35"/>
      <c r="N139" s="35"/>
      <c r="O139" s="41"/>
      <c r="P139" s="37"/>
    </row>
    <row r="140" spans="1:16" x14ac:dyDescent="0.2">
      <c r="A140" s="35"/>
      <c r="B140" s="36"/>
      <c r="C140" s="35"/>
      <c r="D140" s="35"/>
      <c r="E140" s="35"/>
      <c r="F140" s="37"/>
      <c r="G140" s="38"/>
      <c r="H140" s="38"/>
      <c r="I140" s="39"/>
      <c r="J140" s="38"/>
      <c r="K140" s="38"/>
      <c r="L140" s="40"/>
      <c r="M140" s="35"/>
      <c r="N140" s="35"/>
      <c r="O140" s="41"/>
      <c r="P140" s="37"/>
    </row>
  </sheetData>
  <autoFilter ref="A2:O53" xr:uid="{00000000-0001-0000-0000-000000000000}">
    <sortState xmlns:xlrd2="http://schemas.microsoft.com/office/spreadsheetml/2017/richdata2" ref="A3:O53">
      <sortCondition ref="A2:A53"/>
    </sortState>
  </autoFilter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5513-5BFE-4290-B429-C841A7FE7CF3}">
  <dimension ref="A1:B39"/>
  <sheetViews>
    <sheetView topLeftCell="A6" workbookViewId="0">
      <selection activeCell="F21" sqref="F21"/>
    </sheetView>
  </sheetViews>
  <sheetFormatPr defaultColWidth="8.85546875" defaultRowHeight="15" x14ac:dyDescent="0.25"/>
  <cols>
    <col min="1" max="1" width="8.85546875" style="3"/>
    <col min="2" max="2" width="24.28515625" style="3" customWidth="1"/>
    <col min="3" max="16384" width="8.85546875" style="3"/>
  </cols>
  <sheetData>
    <row r="1" spans="1:2" ht="15.75" x14ac:dyDescent="0.25">
      <c r="A1" s="1" t="s">
        <v>14</v>
      </c>
      <c r="B1" s="2" t="s">
        <v>15</v>
      </c>
    </row>
    <row r="2" spans="1:2" x14ac:dyDescent="0.25">
      <c r="A2" s="4">
        <v>11</v>
      </c>
      <c r="B2" s="3" t="s">
        <v>16</v>
      </c>
    </row>
    <row r="3" spans="1:2" x14ac:dyDescent="0.25">
      <c r="A3" s="4">
        <v>12</v>
      </c>
      <c r="B3" s="3" t="s">
        <v>16</v>
      </c>
    </row>
    <row r="4" spans="1:2" x14ac:dyDescent="0.25">
      <c r="A4" s="4">
        <v>13</v>
      </c>
      <c r="B4" s="3" t="s">
        <v>16</v>
      </c>
    </row>
    <row r="5" spans="1:2" x14ac:dyDescent="0.25">
      <c r="A5" s="4">
        <v>14</v>
      </c>
      <c r="B5" s="3" t="s">
        <v>16</v>
      </c>
    </row>
    <row r="6" spans="1:2" x14ac:dyDescent="0.25">
      <c r="A6" s="4">
        <v>15</v>
      </c>
      <c r="B6" s="3" t="s">
        <v>16</v>
      </c>
    </row>
    <row r="7" spans="1:2" x14ac:dyDescent="0.25">
      <c r="A7" s="4">
        <v>16</v>
      </c>
      <c r="B7" s="3" t="s">
        <v>16</v>
      </c>
    </row>
    <row r="8" spans="1:2" x14ac:dyDescent="0.25">
      <c r="A8" s="4">
        <v>17</v>
      </c>
      <c r="B8" s="3" t="s">
        <v>16</v>
      </c>
    </row>
    <row r="9" spans="1:2" x14ac:dyDescent="0.25">
      <c r="A9" s="4">
        <v>18</v>
      </c>
      <c r="B9" s="3" t="s">
        <v>16</v>
      </c>
    </row>
    <row r="10" spans="1:2" x14ac:dyDescent="0.25">
      <c r="A10" s="4">
        <v>19</v>
      </c>
      <c r="B10" s="3" t="s">
        <v>16</v>
      </c>
    </row>
    <row r="11" spans="1:2" x14ac:dyDescent="0.25">
      <c r="A11" s="4">
        <v>21</v>
      </c>
      <c r="B11" s="3" t="s">
        <v>17</v>
      </c>
    </row>
    <row r="12" spans="1:2" x14ac:dyDescent="0.25">
      <c r="A12" s="4">
        <v>22</v>
      </c>
      <c r="B12" s="3" t="s">
        <v>18</v>
      </c>
    </row>
    <row r="13" spans="1:2" x14ac:dyDescent="0.25">
      <c r="A13" s="4">
        <v>24</v>
      </c>
      <c r="B13" s="3" t="s">
        <v>19</v>
      </c>
    </row>
    <row r="14" spans="1:2" x14ac:dyDescent="0.25">
      <c r="A14" s="4">
        <v>27</v>
      </c>
      <c r="B14" s="3" t="s">
        <v>20</v>
      </c>
    </row>
    <row r="15" spans="1:2" x14ac:dyDescent="0.25">
      <c r="A15" s="4">
        <v>28</v>
      </c>
      <c r="B15" s="3" t="s">
        <v>21</v>
      </c>
    </row>
    <row r="16" spans="1:2" x14ac:dyDescent="0.25">
      <c r="A16" s="4">
        <v>33</v>
      </c>
      <c r="B16" s="3" t="s">
        <v>22</v>
      </c>
    </row>
    <row r="17" spans="1:2" x14ac:dyDescent="0.25">
      <c r="A17" s="4">
        <v>34</v>
      </c>
      <c r="B17" s="3" t="s">
        <v>23</v>
      </c>
    </row>
    <row r="18" spans="1:2" x14ac:dyDescent="0.25">
      <c r="A18" s="4">
        <v>35</v>
      </c>
      <c r="B18" s="3" t="s">
        <v>23</v>
      </c>
    </row>
    <row r="19" spans="1:2" x14ac:dyDescent="0.25">
      <c r="A19" s="4">
        <v>37</v>
      </c>
      <c r="B19" s="49" t="s">
        <v>56</v>
      </c>
    </row>
    <row r="20" spans="1:2" x14ac:dyDescent="0.25">
      <c r="A20" s="4">
        <v>41</v>
      </c>
      <c r="B20" s="3" t="s">
        <v>24</v>
      </c>
    </row>
    <row r="21" spans="1:2" x14ac:dyDescent="0.25">
      <c r="A21" s="4">
        <v>42</v>
      </c>
      <c r="B21" s="3" t="s">
        <v>25</v>
      </c>
    </row>
    <row r="22" spans="1:2" x14ac:dyDescent="0.25">
      <c r="A22" s="4">
        <v>43</v>
      </c>
      <c r="B22" s="3" t="s">
        <v>26</v>
      </c>
    </row>
    <row r="23" spans="1:2" x14ac:dyDescent="0.25">
      <c r="A23" s="4">
        <v>52</v>
      </c>
      <c r="B23" s="3" t="s">
        <v>27</v>
      </c>
    </row>
    <row r="24" spans="1:2" x14ac:dyDescent="0.25">
      <c r="A24" s="4">
        <v>53</v>
      </c>
      <c r="B24" s="3" t="s">
        <v>28</v>
      </c>
    </row>
    <row r="25" spans="1:2" x14ac:dyDescent="0.25">
      <c r="A25" s="4">
        <v>54</v>
      </c>
      <c r="B25" s="3" t="s">
        <v>28</v>
      </c>
    </row>
    <row r="26" spans="1:2" x14ac:dyDescent="0.25">
      <c r="A26" s="4">
        <v>61</v>
      </c>
      <c r="B26" s="3" t="s">
        <v>29</v>
      </c>
    </row>
    <row r="27" spans="1:2" x14ac:dyDescent="0.25">
      <c r="A27" s="4">
        <v>62</v>
      </c>
      <c r="B27" s="3" t="s">
        <v>29</v>
      </c>
    </row>
    <row r="28" spans="1:2" x14ac:dyDescent="0.25">
      <c r="A28" s="4">
        <v>63</v>
      </c>
      <c r="B28" s="3" t="s">
        <v>29</v>
      </c>
    </row>
    <row r="29" spans="1:2" x14ac:dyDescent="0.25">
      <c r="A29" s="4">
        <v>64</v>
      </c>
      <c r="B29" s="3" t="s">
        <v>29</v>
      </c>
    </row>
    <row r="30" spans="1:2" x14ac:dyDescent="0.25">
      <c r="A30" s="4">
        <v>65</v>
      </c>
      <c r="B30" s="3" t="s">
        <v>29</v>
      </c>
    </row>
    <row r="31" spans="1:2" x14ac:dyDescent="0.25">
      <c r="A31" s="4">
        <v>66</v>
      </c>
      <c r="B31" s="3" t="s">
        <v>29</v>
      </c>
    </row>
    <row r="32" spans="1:2" x14ac:dyDescent="0.25">
      <c r="A32" s="4">
        <v>67</v>
      </c>
      <c r="B32" s="3" t="s">
        <v>29</v>
      </c>
    </row>
    <row r="33" spans="1:2" x14ac:dyDescent="0.25">
      <c r="A33" s="4">
        <v>70</v>
      </c>
      <c r="B33" s="3" t="s">
        <v>30</v>
      </c>
    </row>
    <row r="34" spans="1:2" x14ac:dyDescent="0.25">
      <c r="A34" s="4">
        <v>72</v>
      </c>
      <c r="B34" s="3" t="s">
        <v>31</v>
      </c>
    </row>
    <row r="35" spans="1:2" x14ac:dyDescent="0.25">
      <c r="A35" s="4">
        <v>73</v>
      </c>
      <c r="B35" s="3" t="s">
        <v>32</v>
      </c>
    </row>
    <row r="36" spans="1:2" x14ac:dyDescent="0.25">
      <c r="A36" s="4">
        <v>75</v>
      </c>
      <c r="B36" s="3" t="s">
        <v>33</v>
      </c>
    </row>
    <row r="37" spans="1:2" x14ac:dyDescent="0.25">
      <c r="A37" s="4">
        <v>76</v>
      </c>
      <c r="B37" s="3" t="s">
        <v>34</v>
      </c>
    </row>
    <row r="38" spans="1:2" x14ac:dyDescent="0.25">
      <c r="A38" s="4">
        <v>77</v>
      </c>
      <c r="B38" s="3" t="s">
        <v>35</v>
      </c>
    </row>
    <row r="39" spans="1:2" x14ac:dyDescent="0.25">
      <c r="A39" s="4">
        <v>79</v>
      </c>
      <c r="B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AU-Stock Supported</vt:lpstr>
      <vt:lpstr>AU-Made to Order</vt:lpstr>
      <vt:lpstr>NZ- Stock Supported</vt:lpstr>
      <vt:lpstr>NZ- MTO</vt:lpstr>
      <vt:lpstr>Plants</vt:lpstr>
      <vt:lpstr>'AU-Made to Order'!Print_Titles</vt:lpstr>
      <vt:lpstr>'AU-Stock Supported'!Print_Titles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mswarris</dc:creator>
  <cp:lastModifiedBy>Ryan Jolliffe</cp:lastModifiedBy>
  <cp:lastPrinted>2022-03-02T23:48:39Z</cp:lastPrinted>
  <dcterms:created xsi:type="dcterms:W3CDTF">2022-03-02T03:26:49Z</dcterms:created>
  <dcterms:modified xsi:type="dcterms:W3CDTF">2026-04-08T06:07:25Z</dcterms:modified>
</cp:coreProperties>
</file>